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.almulhem0604\Downloads\"/>
    </mc:Choice>
  </mc:AlternateContent>
  <xr:revisionPtr revIDLastSave="0" documentId="8_{443CC4E7-9218-4910-9D5D-80A20BCAFCA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لوحة النتائج" sheetId="1" r:id="rId1"/>
    <sheet name="المهارات" sheetId="2" r:id="rId2"/>
    <sheet name="الرصد" sheetId="3" r:id="rId3"/>
    <sheet name="التحليل" sheetId="4" r:id="rId4"/>
    <sheet name="معالجة" sheetId="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4" i="5" l="1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C223" i="4"/>
  <c r="C222" i="4"/>
  <c r="W222" i="4" s="1"/>
  <c r="C221" i="4"/>
  <c r="W221" i="4" s="1"/>
  <c r="C220" i="4"/>
  <c r="W220" i="4" s="1"/>
  <c r="C219" i="4"/>
  <c r="W219" i="4" s="1"/>
  <c r="C218" i="4"/>
  <c r="W218" i="4" s="1"/>
  <c r="C217" i="4"/>
  <c r="W217" i="4" s="1"/>
  <c r="C216" i="4"/>
  <c r="W216" i="4" s="1"/>
  <c r="C215" i="4"/>
  <c r="W215" i="4" s="1"/>
  <c r="C214" i="4"/>
  <c r="W214" i="4" s="1"/>
  <c r="C213" i="4"/>
  <c r="W213" i="4" s="1"/>
  <c r="C212" i="4"/>
  <c r="W212" i="4" s="1"/>
  <c r="C211" i="4"/>
  <c r="W211" i="4" s="1"/>
  <c r="C210" i="4"/>
  <c r="W210" i="4" s="1"/>
  <c r="C209" i="4"/>
  <c r="W209" i="4" s="1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W208" i="4" s="1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W207" i="4" s="1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W206" i="4" s="1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W205" i="4" s="1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W204" i="4" s="1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W203" i="4" s="1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W202" i="4" s="1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C201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W200" i="4" s="1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W199" i="4" s="1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W198" i="4" s="1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W197" i="4" s="1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W196" i="4" s="1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W195" i="4" s="1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W194" i="4" s="1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W193" i="4" s="1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W192" i="4" s="1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W191" i="4" s="1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W190" i="4" s="1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W189" i="4" s="1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W188" i="4" s="1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W187" i="4" s="1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W186" i="4" s="1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W185" i="4" s="1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W184" i="4" s="1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W183" i="4" s="1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W182" i="4" s="1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W181" i="4" s="1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W180" i="4" s="1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W179" i="4" s="1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W178" i="4" s="1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W177" i="4" s="1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W176" i="4" s="1"/>
  <c r="W175" i="4"/>
  <c r="V175" i="4"/>
  <c r="U175" i="4"/>
  <c r="T175" i="4"/>
  <c r="C175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W174" i="4" s="1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W173" i="4" s="1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W172" i="4" s="1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W171" i="4" s="1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W170" i="4" s="1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W169" i="4" s="1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W168" i="4" s="1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W167" i="4" s="1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W166" i="4" s="1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W165" i="4" s="1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W164" i="4" s="1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W163" i="4" s="1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W162" i="4" s="1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W161" i="4" s="1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W160" i="4" s="1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W159" i="4" s="1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W158" i="4" s="1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W157" i="4" s="1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W156" i="4" s="1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W155" i="4" s="1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W154" i="4" s="1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W153" i="4" s="1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W152" i="4" s="1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W151" i="4" s="1"/>
  <c r="W150" i="4"/>
  <c r="V150" i="4"/>
  <c r="U150" i="4"/>
  <c r="T150" i="4"/>
  <c r="S150" i="4"/>
  <c r="R150" i="4"/>
  <c r="Q150" i="4"/>
  <c r="P150" i="4"/>
  <c r="O150" i="4"/>
  <c r="N150" i="4"/>
  <c r="C150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W149" i="4" s="1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W148" i="4" s="1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W147" i="4" s="1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W146" i="4" s="1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W145" i="4" s="1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W144" i="4" s="1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W143" i="4" s="1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W142" i="4" s="1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W141" i="4" s="1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W140" i="4" s="1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W139" i="4" s="1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W138" i="4" s="1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W137" i="4" s="1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W136" i="4" s="1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W135" i="4" s="1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W134" i="4" s="1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W133" i="4" s="1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W132" i="4" s="1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W131" i="4" s="1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W130" i="4" s="1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W129" i="4" s="1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W128" i="4" s="1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W127" i="4" s="1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W126" i="4" s="1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C125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W124" i="4" s="1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W123" i="4" s="1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W122" i="4" s="1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W121" i="4" s="1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W120" i="4" s="1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W119" i="4" s="1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W118" i="4" s="1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W117" i="4" s="1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W116" i="4" s="1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W115" i="4" s="1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W114" i="4" s="1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W113" i="4" s="1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W112" i="4" s="1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W111" i="4" s="1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W110" i="4" s="1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W109" i="4" s="1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W108" i="4" s="1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W107" i="4" s="1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W106" i="4" s="1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W105" i="4" s="1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W104" i="4" s="1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W103" i="4" s="1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W102" i="4" s="1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W101" i="4" s="1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W100" i="4" s="1"/>
  <c r="C99" i="4"/>
  <c r="W99" i="4" s="1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W98" i="4" s="1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W97" i="4" s="1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W96" i="4" s="1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W95" i="4" s="1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W94" i="4" s="1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W93" i="4" s="1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W92" i="4" s="1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W91" i="4" s="1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W90" i="4" s="1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W89" i="4" s="1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W88" i="4" s="1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W87" i="4" s="1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W86" i="4" s="1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W85" i="4" s="1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W84" i="4" s="1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W83" i="4" s="1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W82" i="4" s="1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W81" i="4" s="1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W80" i="4" s="1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W79" i="4" s="1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W78" i="4" s="1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W77" i="4" s="1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W76" i="4" s="1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W75" i="4" s="1"/>
  <c r="W74" i="4"/>
  <c r="V74" i="4"/>
  <c r="U74" i="4"/>
  <c r="T74" i="4"/>
  <c r="S74" i="4"/>
  <c r="R74" i="4"/>
  <c r="C74" i="4"/>
  <c r="C73" i="4"/>
  <c r="W73" i="4" s="1"/>
  <c r="C72" i="4"/>
  <c r="W72" i="4" s="1"/>
  <c r="C71" i="4"/>
  <c r="W71" i="4" s="1"/>
  <c r="C70" i="4"/>
  <c r="W70" i="4" s="1"/>
  <c r="C69" i="4"/>
  <c r="W69" i="4" s="1"/>
  <c r="C68" i="4"/>
  <c r="W68" i="4" s="1"/>
  <c r="C67" i="4"/>
  <c r="W67" i="4" s="1"/>
  <c r="C66" i="4"/>
  <c r="W66" i="4" s="1"/>
  <c r="C65" i="4"/>
  <c r="W65" i="4" s="1"/>
  <c r="C64" i="4"/>
  <c r="W64" i="4" s="1"/>
  <c r="C63" i="4"/>
  <c r="W63" i="4" s="1"/>
  <c r="C62" i="4"/>
  <c r="W62" i="4" s="1"/>
  <c r="C61" i="4"/>
  <c r="W61" i="4" s="1"/>
  <c r="C60" i="4"/>
  <c r="W60" i="4" s="1"/>
  <c r="C59" i="4"/>
  <c r="W59" i="4" s="1"/>
  <c r="C58" i="4"/>
  <c r="W58" i="4" s="1"/>
  <c r="C57" i="4"/>
  <c r="W57" i="4" s="1"/>
  <c r="C56" i="4"/>
  <c r="W56" i="4" s="1"/>
  <c r="C55" i="4"/>
  <c r="W55" i="4" s="1"/>
  <c r="C54" i="4"/>
  <c r="W54" i="4" s="1"/>
  <c r="C53" i="4"/>
  <c r="W53" i="4" s="1"/>
  <c r="C52" i="4"/>
  <c r="W52" i="4" s="1"/>
  <c r="C51" i="4"/>
  <c r="W51" i="4" s="1"/>
  <c r="C50" i="4"/>
  <c r="W50" i="4" s="1"/>
  <c r="V49" i="4"/>
  <c r="U49" i="4"/>
  <c r="T49" i="4"/>
  <c r="S49" i="4"/>
  <c r="R49" i="4"/>
  <c r="Q49" i="4"/>
  <c r="P49" i="4"/>
  <c r="O49" i="4"/>
  <c r="N49" i="4"/>
  <c r="M49" i="4"/>
  <c r="C49" i="4"/>
  <c r="W49" i="4" s="1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W48" i="4" s="1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W47" i="4" s="1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W46" i="4" s="1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W45" i="4" s="1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W44" i="4" s="1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W43" i="4" s="1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W42" i="4" s="1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W41" i="4" s="1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W40" i="4" s="1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W39" i="4" s="1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W38" i="4" s="1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W37" i="4" s="1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W36" i="4" s="1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W35" i="4" s="1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W34" i="4" s="1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W33" i="4" s="1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W32" i="4" s="1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W31" i="4" s="1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W30" i="4" s="1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W29" i="4" s="1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W28" i="4" s="1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W27" i="4" s="1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W26" i="4" s="1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W25" i="4" s="1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C24" i="4"/>
  <c r="C23" i="4"/>
  <c r="W23" i="4" s="1"/>
  <c r="C22" i="4"/>
  <c r="W22" i="4" s="1"/>
  <c r="C21" i="4"/>
  <c r="W21" i="4" s="1"/>
  <c r="C20" i="4"/>
  <c r="W20" i="4" s="1"/>
  <c r="C19" i="4"/>
  <c r="W19" i="4" s="1"/>
  <c r="C18" i="4"/>
  <c r="W18" i="4" s="1"/>
  <c r="C17" i="4"/>
  <c r="W17" i="4" s="1"/>
  <c r="C16" i="4"/>
  <c r="W16" i="4" s="1"/>
  <c r="C15" i="4"/>
  <c r="W15" i="4" s="1"/>
  <c r="C14" i="4"/>
  <c r="W14" i="4" s="1"/>
  <c r="C13" i="4"/>
  <c r="W13" i="4" s="1"/>
  <c r="C12" i="4"/>
  <c r="W12" i="4" s="1"/>
  <c r="C11" i="4"/>
  <c r="W11" i="4" s="1"/>
  <c r="C10" i="4"/>
  <c r="W10" i="4" s="1"/>
  <c r="C9" i="4"/>
  <c r="W9" i="4" s="1"/>
  <c r="C8" i="4"/>
  <c r="W8" i="4" s="1"/>
  <c r="C7" i="4"/>
  <c r="W7" i="4" s="1"/>
  <c r="C6" i="4"/>
  <c r="W6" i="4" s="1"/>
  <c r="C5" i="4"/>
  <c r="W5" i="4" s="1"/>
  <c r="C4" i="4"/>
  <c r="W4" i="4" s="1"/>
  <c r="C3" i="4"/>
  <c r="W3" i="4" s="1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G30" i="2"/>
  <c r="G29" i="2"/>
  <c r="G28" i="2"/>
  <c r="G27" i="2"/>
  <c r="W201" i="4" s="1"/>
  <c r="H72" i="1"/>
  <c r="D72" i="1"/>
  <c r="E72" i="1" s="1"/>
  <c r="I72" i="1" s="1"/>
  <c r="C72" i="1"/>
  <c r="B72" i="1"/>
  <c r="A72" i="1"/>
  <c r="H71" i="1"/>
  <c r="D71" i="1"/>
  <c r="E71" i="1" s="1"/>
  <c r="I71" i="1" s="1"/>
  <c r="C71" i="1"/>
  <c r="B71" i="1"/>
  <c r="A71" i="1"/>
  <c r="H70" i="1"/>
  <c r="D70" i="1"/>
  <c r="E70" i="1" s="1"/>
  <c r="I70" i="1" s="1"/>
  <c r="C70" i="1"/>
  <c r="B70" i="1"/>
  <c r="A70" i="1"/>
  <c r="H69" i="1"/>
  <c r="D69" i="1"/>
  <c r="E69" i="1" s="1"/>
  <c r="I69" i="1" s="1"/>
  <c r="C69" i="1"/>
  <c r="B69" i="1"/>
  <c r="A69" i="1"/>
  <c r="H68" i="1"/>
  <c r="D68" i="1"/>
  <c r="E68" i="1" s="1"/>
  <c r="I68" i="1" s="1"/>
  <c r="C68" i="1"/>
  <c r="B68" i="1"/>
  <c r="A68" i="1"/>
  <c r="H67" i="1"/>
  <c r="D67" i="1"/>
  <c r="E67" i="1" s="1"/>
  <c r="I67" i="1" s="1"/>
  <c r="C67" i="1"/>
  <c r="F67" i="1" s="1"/>
  <c r="B67" i="1"/>
  <c r="A67" i="1"/>
  <c r="H66" i="1"/>
  <c r="D66" i="1"/>
  <c r="E66" i="1" s="1"/>
  <c r="I66" i="1" s="1"/>
  <c r="C66" i="1"/>
  <c r="B66" i="1"/>
  <c r="A66" i="1"/>
  <c r="H65" i="1"/>
  <c r="D65" i="1"/>
  <c r="E65" i="1" s="1"/>
  <c r="I65" i="1" s="1"/>
  <c r="C65" i="1"/>
  <c r="B65" i="1"/>
  <c r="A65" i="1"/>
  <c r="H64" i="1"/>
  <c r="D64" i="1"/>
  <c r="E64" i="1" s="1"/>
  <c r="I64" i="1" s="1"/>
  <c r="C64" i="1"/>
  <c r="B64" i="1"/>
  <c r="A64" i="1"/>
  <c r="H63" i="1"/>
  <c r="D63" i="1"/>
  <c r="E63" i="1" s="1"/>
  <c r="I63" i="1" s="1"/>
  <c r="C63" i="1"/>
  <c r="B63" i="1"/>
  <c r="A63" i="1"/>
  <c r="H62" i="1"/>
  <c r="D62" i="1"/>
  <c r="E62" i="1" s="1"/>
  <c r="I62" i="1" s="1"/>
  <c r="C62" i="1"/>
  <c r="B62" i="1"/>
  <c r="A62" i="1"/>
  <c r="H61" i="1"/>
  <c r="D61" i="1"/>
  <c r="E61" i="1" s="1"/>
  <c r="I61" i="1" s="1"/>
  <c r="C61" i="1"/>
  <c r="B61" i="1"/>
  <c r="A61" i="1"/>
  <c r="H60" i="1"/>
  <c r="D60" i="1"/>
  <c r="E60" i="1" s="1"/>
  <c r="I60" i="1" s="1"/>
  <c r="C60" i="1"/>
  <c r="B60" i="1"/>
  <c r="A60" i="1"/>
  <c r="H59" i="1"/>
  <c r="D59" i="1"/>
  <c r="E59" i="1" s="1"/>
  <c r="I59" i="1" s="1"/>
  <c r="C59" i="1"/>
  <c r="B59" i="1"/>
  <c r="A59" i="1"/>
  <c r="H58" i="1"/>
  <c r="D58" i="1"/>
  <c r="E58" i="1" s="1"/>
  <c r="I58" i="1" s="1"/>
  <c r="C58" i="1"/>
  <c r="B58" i="1"/>
  <c r="A58" i="1"/>
  <c r="H57" i="1"/>
  <c r="D57" i="1"/>
  <c r="E57" i="1" s="1"/>
  <c r="I57" i="1" s="1"/>
  <c r="C57" i="1"/>
  <c r="B57" i="1"/>
  <c r="A57" i="1"/>
  <c r="H56" i="1"/>
  <c r="D56" i="1"/>
  <c r="E56" i="1" s="1"/>
  <c r="I56" i="1" s="1"/>
  <c r="C56" i="1"/>
  <c r="B56" i="1"/>
  <c r="A56" i="1"/>
  <c r="H55" i="1"/>
  <c r="D55" i="1"/>
  <c r="E55" i="1" s="1"/>
  <c r="I55" i="1" s="1"/>
  <c r="C55" i="1"/>
  <c r="B55" i="1"/>
  <c r="A55" i="1"/>
  <c r="H54" i="1"/>
  <c r="D54" i="1"/>
  <c r="E54" i="1" s="1"/>
  <c r="I54" i="1" s="1"/>
  <c r="C54" i="1"/>
  <c r="B54" i="1"/>
  <c r="A54" i="1"/>
  <c r="H53" i="1"/>
  <c r="D53" i="1"/>
  <c r="E53" i="1" s="1"/>
  <c r="I53" i="1" s="1"/>
  <c r="C53" i="1"/>
  <c r="B53" i="1"/>
  <c r="A53" i="1"/>
  <c r="H52" i="1"/>
  <c r="D52" i="1"/>
  <c r="E52" i="1" s="1"/>
  <c r="I52" i="1" s="1"/>
  <c r="C52" i="1"/>
  <c r="B52" i="1"/>
  <c r="A52" i="1"/>
  <c r="H51" i="1"/>
  <c r="D51" i="1"/>
  <c r="E51" i="1" s="1"/>
  <c r="I51" i="1" s="1"/>
  <c r="C51" i="1"/>
  <c r="B51" i="1"/>
  <c r="A51" i="1"/>
  <c r="H50" i="1"/>
  <c r="D50" i="1"/>
  <c r="E50" i="1" s="1"/>
  <c r="I50" i="1" s="1"/>
  <c r="C50" i="1"/>
  <c r="B50" i="1"/>
  <c r="A50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G28" i="1"/>
  <c r="C28" i="1"/>
  <c r="A28" i="1"/>
  <c r="D23" i="1"/>
  <c r="E23" i="1" s="1"/>
  <c r="C23" i="1"/>
  <c r="B23" i="1"/>
  <c r="D22" i="1"/>
  <c r="E22" i="1" s="1"/>
  <c r="C22" i="1"/>
  <c r="B22" i="1"/>
  <c r="D21" i="1"/>
  <c r="E21" i="1" s="1"/>
  <c r="C21" i="1"/>
  <c r="B21" i="1"/>
  <c r="D20" i="1"/>
  <c r="E20" i="1" s="1"/>
  <c r="C20" i="1"/>
  <c r="B20" i="1"/>
  <c r="D19" i="1"/>
  <c r="E19" i="1" s="1"/>
  <c r="C19" i="1"/>
  <c r="B19" i="1"/>
  <c r="D18" i="1"/>
  <c r="E18" i="1" s="1"/>
  <c r="C18" i="1"/>
  <c r="B18" i="1"/>
  <c r="D17" i="1"/>
  <c r="E17" i="1" s="1"/>
  <c r="C17" i="1"/>
  <c r="B17" i="1"/>
  <c r="D16" i="1"/>
  <c r="E16" i="1" s="1"/>
  <c r="C16" i="1"/>
  <c r="B16" i="1"/>
  <c r="D15" i="1"/>
  <c r="E15" i="1" s="1"/>
  <c r="C15" i="1"/>
  <c r="B15" i="1"/>
  <c r="D14" i="1"/>
  <c r="E14" i="1" s="1"/>
  <c r="C14" i="1"/>
  <c r="B14" i="1"/>
  <c r="D13" i="1"/>
  <c r="E13" i="1" s="1"/>
  <c r="C13" i="1"/>
  <c r="B13" i="1"/>
  <c r="B24" i="1" s="1"/>
  <c r="I10" i="1"/>
  <c r="F10" i="1"/>
  <c r="G24" i="1" s="1"/>
  <c r="E10" i="1"/>
  <c r="F24" i="1" s="1"/>
  <c r="C10" i="1"/>
  <c r="B10" i="1"/>
  <c r="A10" i="1"/>
  <c r="B5" i="1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V55" i="4" l="1"/>
  <c r="V73" i="4"/>
  <c r="V219" i="4"/>
  <c r="V57" i="4"/>
  <c r="V12" i="4"/>
  <c r="V13" i="4"/>
  <c r="V53" i="4"/>
  <c r="V58" i="4"/>
  <c r="V9" i="4"/>
  <c r="V22" i="4"/>
  <c r="V3" i="4"/>
  <c r="V59" i="4"/>
  <c r="V68" i="4"/>
  <c r="V50" i="4"/>
  <c r="V4" i="4"/>
  <c r="V216" i="4"/>
  <c r="V64" i="4"/>
  <c r="V21" i="4"/>
  <c r="V16" i="4"/>
  <c r="V5" i="4"/>
  <c r="V211" i="4"/>
  <c r="V62" i="4"/>
  <c r="V69" i="4"/>
  <c r="V6" i="4"/>
  <c r="V210" i="4"/>
  <c r="V23" i="4"/>
  <c r="V15" i="4"/>
  <c r="V66" i="4"/>
  <c r="V7" i="4"/>
  <c r="V217" i="4"/>
  <c r="V70" i="4"/>
  <c r="V221" i="4"/>
  <c r="V220" i="4"/>
  <c r="V65" i="4"/>
  <c r="V72" i="4"/>
  <c r="V8" i="4"/>
  <c r="V54" i="4"/>
  <c r="V61" i="4"/>
  <c r="V17" i="4"/>
  <c r="V51" i="4"/>
  <c r="V99" i="4"/>
  <c r="V212" i="4"/>
  <c r="V18" i="4"/>
  <c r="V67" i="4"/>
  <c r="V63" i="4"/>
  <c r="V11" i="4"/>
  <c r="V19" i="4"/>
  <c r="V222" i="4"/>
  <c r="V10" i="4"/>
  <c r="V20" i="4"/>
  <c r="V56" i="4"/>
  <c r="V218" i="4"/>
  <c r="V52" i="4"/>
  <c r="V215" i="4"/>
  <c r="V214" i="4"/>
  <c r="V213" i="4"/>
  <c r="V71" i="4"/>
  <c r="V209" i="4"/>
  <c r="V60" i="4"/>
  <c r="V14" i="4"/>
  <c r="U18" i="4"/>
  <c r="U6" i="4"/>
  <c r="U20" i="4"/>
  <c r="U219" i="4"/>
  <c r="U211" i="4"/>
  <c r="U57" i="4"/>
  <c r="U51" i="4"/>
  <c r="U65" i="4"/>
  <c r="U220" i="4"/>
  <c r="U11" i="4"/>
  <c r="U7" i="4"/>
  <c r="U56" i="4"/>
  <c r="U16" i="4"/>
  <c r="U70" i="4"/>
  <c r="U10" i="4"/>
  <c r="U15" i="4"/>
  <c r="U221" i="4"/>
  <c r="U13" i="4"/>
  <c r="U58" i="4"/>
  <c r="U61" i="4"/>
  <c r="U23" i="4"/>
  <c r="U9" i="4"/>
  <c r="U8" i="4"/>
  <c r="U63" i="4"/>
  <c r="U3" i="4"/>
  <c r="U66" i="4"/>
  <c r="U53" i="4"/>
  <c r="U59" i="4"/>
  <c r="U99" i="4"/>
  <c r="U64" i="4"/>
  <c r="U22" i="4"/>
  <c r="U17" i="4"/>
  <c r="U68" i="4"/>
  <c r="U216" i="4"/>
  <c r="U210" i="4"/>
  <c r="U4" i="4"/>
  <c r="U19" i="4"/>
  <c r="U73" i="4"/>
  <c r="U72" i="4"/>
  <c r="U217" i="4"/>
  <c r="U21" i="4"/>
  <c r="U50" i="4"/>
  <c r="U5" i="4"/>
  <c r="U54" i="4"/>
  <c r="U222" i="4"/>
  <c r="U52" i="4"/>
  <c r="U12" i="4"/>
  <c r="U215" i="4"/>
  <c r="U67" i="4"/>
  <c r="U214" i="4"/>
  <c r="U71" i="4"/>
  <c r="U218" i="4"/>
  <c r="U213" i="4"/>
  <c r="U62" i="4"/>
  <c r="U212" i="4"/>
  <c r="U60" i="4"/>
  <c r="U209" i="4"/>
  <c r="U69" i="4"/>
  <c r="U55" i="4"/>
  <c r="U14" i="4"/>
  <c r="T17" i="4"/>
  <c r="T60" i="4"/>
  <c r="T15" i="4"/>
  <c r="T72" i="4"/>
  <c r="T55" i="4"/>
  <c r="T4" i="4"/>
  <c r="T8" i="4"/>
  <c r="T219" i="4"/>
  <c r="T21" i="4"/>
  <c r="T10" i="4"/>
  <c r="T220" i="4"/>
  <c r="T63" i="4"/>
  <c r="T56" i="4"/>
  <c r="T62" i="4"/>
  <c r="T221" i="4"/>
  <c r="T13" i="4"/>
  <c r="T16" i="4"/>
  <c r="T50" i="4"/>
  <c r="T99" i="4"/>
  <c r="T210" i="4"/>
  <c r="T5" i="4"/>
  <c r="T61" i="4"/>
  <c r="T73" i="4"/>
  <c r="T23" i="4"/>
  <c r="T57" i="4"/>
  <c r="T67" i="4"/>
  <c r="T211" i="4"/>
  <c r="T69" i="4"/>
  <c r="T212" i="4"/>
  <c r="T64" i="4"/>
  <c r="T9" i="4"/>
  <c r="T20" i="4"/>
  <c r="T18" i="4"/>
  <c r="T66" i="4"/>
  <c r="T11" i="4"/>
  <c r="T6" i="4"/>
  <c r="T58" i="4"/>
  <c r="T54" i="4"/>
  <c r="T222" i="4"/>
  <c r="T52" i="4"/>
  <c r="T53" i="4"/>
  <c r="T59" i="4"/>
  <c r="T215" i="4"/>
  <c r="T71" i="4"/>
  <c r="T3" i="4"/>
  <c r="T216" i="4"/>
  <c r="T214" i="4"/>
  <c r="T65" i="4"/>
  <c r="T19" i="4"/>
  <c r="T70" i="4"/>
  <c r="T213" i="4"/>
  <c r="T217" i="4"/>
  <c r="T7" i="4"/>
  <c r="T51" i="4"/>
  <c r="T218" i="4"/>
  <c r="T209" i="4"/>
  <c r="T22" i="4"/>
  <c r="T12" i="4"/>
  <c r="T68" i="4"/>
  <c r="T14" i="4"/>
  <c r="S15" i="4"/>
  <c r="S19" i="4"/>
  <c r="S10" i="4"/>
  <c r="S11" i="4"/>
  <c r="S67" i="4"/>
  <c r="S8" i="4"/>
  <c r="S64" i="4"/>
  <c r="S13" i="4"/>
  <c r="S73" i="4"/>
  <c r="S65" i="4"/>
  <c r="S72" i="4"/>
  <c r="S70" i="4"/>
  <c r="S12" i="4"/>
  <c r="S18" i="4"/>
  <c r="S69" i="4"/>
  <c r="S16" i="4"/>
  <c r="S59" i="4"/>
  <c r="S22" i="4"/>
  <c r="S58" i="4"/>
  <c r="S57" i="4"/>
  <c r="S23" i="4"/>
  <c r="S56" i="4"/>
  <c r="S55" i="4"/>
  <c r="S54" i="4"/>
  <c r="S53" i="4"/>
  <c r="S222" i="4"/>
  <c r="S68" i="4"/>
  <c r="S216" i="4"/>
  <c r="S217" i="4"/>
  <c r="S218" i="4"/>
  <c r="S175" i="4"/>
  <c r="S60" i="4"/>
  <c r="S219" i="4"/>
  <c r="S21" i="4"/>
  <c r="S52" i="4"/>
  <c r="S71" i="4"/>
  <c r="S3" i="4"/>
  <c r="S51" i="4"/>
  <c r="S220" i="4"/>
  <c r="S215" i="4"/>
  <c r="S221" i="4"/>
  <c r="S61" i="4"/>
  <c r="S50" i="4"/>
  <c r="S209" i="4"/>
  <c r="S214" i="4"/>
  <c r="S210" i="4"/>
  <c r="S66" i="4"/>
  <c r="S211" i="4"/>
  <c r="S20" i="4"/>
  <c r="S213" i="4"/>
  <c r="S4" i="4"/>
  <c r="S62" i="4"/>
  <c r="S212" i="4"/>
  <c r="S5" i="4"/>
  <c r="S6" i="4"/>
  <c r="S7" i="4"/>
  <c r="S17" i="4"/>
  <c r="S63" i="4"/>
  <c r="S99" i="4"/>
  <c r="S9" i="4"/>
  <c r="S14" i="4"/>
  <c r="R212" i="4"/>
  <c r="R222" i="4"/>
  <c r="R68" i="4"/>
  <c r="R17" i="4"/>
  <c r="R70" i="4"/>
  <c r="R211" i="4"/>
  <c r="R7" i="4"/>
  <c r="R216" i="4"/>
  <c r="R6" i="4"/>
  <c r="R57" i="4"/>
  <c r="R67" i="4"/>
  <c r="R209" i="4"/>
  <c r="R15" i="4"/>
  <c r="R219" i="4"/>
  <c r="R63" i="4"/>
  <c r="R71" i="4"/>
  <c r="R20" i="4"/>
  <c r="R210" i="4"/>
  <c r="R69" i="4"/>
  <c r="R23" i="4"/>
  <c r="R12" i="4"/>
  <c r="R5" i="4"/>
  <c r="R18" i="4"/>
  <c r="R72" i="4"/>
  <c r="R213" i="4"/>
  <c r="R50" i="4"/>
  <c r="R175" i="4"/>
  <c r="R16" i="4"/>
  <c r="R217" i="4"/>
  <c r="R51" i="4"/>
  <c r="R8" i="4"/>
  <c r="R14" i="4"/>
  <c r="R62" i="4"/>
  <c r="R214" i="4"/>
  <c r="R4" i="4"/>
  <c r="R220" i="4"/>
  <c r="R64" i="4"/>
  <c r="R65" i="4"/>
  <c r="R59" i="4"/>
  <c r="R221" i="4"/>
  <c r="R215" i="4"/>
  <c r="R55" i="4"/>
  <c r="R99" i="4"/>
  <c r="R54" i="4"/>
  <c r="R22" i="4"/>
  <c r="R66" i="4"/>
  <c r="R52" i="4"/>
  <c r="R73" i="4"/>
  <c r="R21" i="4"/>
  <c r="R61" i="4"/>
  <c r="R3" i="4"/>
  <c r="R60" i="4"/>
  <c r="R9" i="4"/>
  <c r="R11" i="4"/>
  <c r="R58" i="4"/>
  <c r="R13" i="4"/>
  <c r="R10" i="4"/>
  <c r="R19" i="4"/>
  <c r="R218" i="4"/>
  <c r="R53" i="4"/>
  <c r="R56" i="4"/>
  <c r="Q18" i="4"/>
  <c r="Q7" i="4"/>
  <c r="Q210" i="4"/>
  <c r="Q50" i="4"/>
  <c r="Q20" i="4"/>
  <c r="Q6" i="4"/>
  <c r="Q15" i="4"/>
  <c r="Q17" i="4"/>
  <c r="Q69" i="4"/>
  <c r="Q16" i="4"/>
  <c r="Q74" i="4"/>
  <c r="Q5" i="4"/>
  <c r="Q4" i="4"/>
  <c r="Q59" i="4"/>
  <c r="Q51" i="4"/>
  <c r="Q22" i="4"/>
  <c r="Q67" i="4"/>
  <c r="Q3" i="4"/>
  <c r="Q58" i="4"/>
  <c r="Q214" i="4"/>
  <c r="Q23" i="4"/>
  <c r="Q57" i="4"/>
  <c r="Q11" i="4"/>
  <c r="Q209" i="4"/>
  <c r="Q221" i="4"/>
  <c r="Q61" i="4"/>
  <c r="Q56" i="4"/>
  <c r="Q220" i="4"/>
  <c r="Q21" i="4"/>
  <c r="Q66" i="4"/>
  <c r="Q219" i="4"/>
  <c r="Q62" i="4"/>
  <c r="Q13" i="4"/>
  <c r="Q55" i="4"/>
  <c r="Q71" i="4"/>
  <c r="Q60" i="4"/>
  <c r="Q175" i="4"/>
  <c r="Q218" i="4"/>
  <c r="Q54" i="4"/>
  <c r="Q68" i="4"/>
  <c r="Q222" i="4"/>
  <c r="Q12" i="4"/>
  <c r="Q53" i="4"/>
  <c r="Q19" i="4"/>
  <c r="Q10" i="4"/>
  <c r="Q73" i="4"/>
  <c r="Q52" i="4"/>
  <c r="Q216" i="4"/>
  <c r="Q99" i="4"/>
  <c r="Q215" i="4"/>
  <c r="Q9" i="4"/>
  <c r="Q65" i="4"/>
  <c r="Q14" i="4"/>
  <c r="Q217" i="4"/>
  <c r="Q213" i="4"/>
  <c r="Q8" i="4"/>
  <c r="Q212" i="4"/>
  <c r="Q211" i="4"/>
  <c r="Q63" i="4"/>
  <c r="Q64" i="4"/>
  <c r="Q70" i="4"/>
  <c r="Q72" i="4"/>
  <c r="P7" i="4"/>
  <c r="P55" i="4"/>
  <c r="P23" i="4"/>
  <c r="P56" i="4"/>
  <c r="P53" i="4"/>
  <c r="P11" i="4"/>
  <c r="P51" i="4"/>
  <c r="P58" i="4"/>
  <c r="P220" i="4"/>
  <c r="P10" i="4"/>
  <c r="P3" i="4"/>
  <c r="P99" i="4"/>
  <c r="P12" i="4"/>
  <c r="P62" i="4"/>
  <c r="P218" i="4"/>
  <c r="P70" i="4"/>
  <c r="P68" i="4"/>
  <c r="P52" i="4"/>
  <c r="P60" i="4"/>
  <c r="P216" i="4"/>
  <c r="P73" i="4"/>
  <c r="P67" i="4"/>
  <c r="P61" i="4"/>
  <c r="P22" i="4"/>
  <c r="P65" i="4"/>
  <c r="P59" i="4"/>
  <c r="P221" i="4"/>
  <c r="P215" i="4"/>
  <c r="P21" i="4"/>
  <c r="P54" i="4"/>
  <c r="P74" i="4"/>
  <c r="P4" i="4"/>
  <c r="P9" i="4"/>
  <c r="P15" i="4"/>
  <c r="P214" i="4"/>
  <c r="P14" i="4"/>
  <c r="P210" i="4"/>
  <c r="P17" i="4"/>
  <c r="P211" i="4"/>
  <c r="P5" i="4"/>
  <c r="P18" i="4"/>
  <c r="P219" i="4"/>
  <c r="P213" i="4"/>
  <c r="P217" i="4"/>
  <c r="P69" i="4"/>
  <c r="P8" i="4"/>
  <c r="P66" i="4"/>
  <c r="P57" i="4"/>
  <c r="P13" i="4"/>
  <c r="P6" i="4"/>
  <c r="P16" i="4"/>
  <c r="P19" i="4"/>
  <c r="P50" i="4"/>
  <c r="P209" i="4"/>
  <c r="P63" i="4"/>
  <c r="P20" i="4"/>
  <c r="P71" i="4"/>
  <c r="P64" i="4"/>
  <c r="P222" i="4"/>
  <c r="P72" i="4"/>
  <c r="P175" i="4"/>
  <c r="P212" i="4"/>
  <c r="O60" i="4"/>
  <c r="O22" i="4"/>
  <c r="O222" i="4"/>
  <c r="O52" i="4"/>
  <c r="O56" i="4"/>
  <c r="O217" i="4"/>
  <c r="O218" i="4"/>
  <c r="O59" i="4"/>
  <c r="O175" i="4"/>
  <c r="O219" i="4"/>
  <c r="O220" i="4"/>
  <c r="O221" i="4"/>
  <c r="O209" i="4"/>
  <c r="O216" i="4"/>
  <c r="O211" i="4"/>
  <c r="O3" i="4"/>
  <c r="O4" i="4"/>
  <c r="O5" i="4"/>
  <c r="O6" i="4"/>
  <c r="O7" i="4"/>
  <c r="O55" i="4"/>
  <c r="O8" i="4"/>
  <c r="O215" i="4"/>
  <c r="O9" i="4"/>
  <c r="O99" i="4"/>
  <c r="O10" i="4"/>
  <c r="O11" i="4"/>
  <c r="O58" i="4"/>
  <c r="O12" i="4"/>
  <c r="O13" i="4"/>
  <c r="O214" i="4"/>
  <c r="O23" i="4"/>
  <c r="O74" i="4"/>
  <c r="O73" i="4"/>
  <c r="O50" i="4"/>
  <c r="O14" i="4"/>
  <c r="O70" i="4"/>
  <c r="O16" i="4"/>
  <c r="O54" i="4"/>
  <c r="O213" i="4"/>
  <c r="O65" i="4"/>
  <c r="O69" i="4"/>
  <c r="O68" i="4"/>
  <c r="O17" i="4"/>
  <c r="O212" i="4"/>
  <c r="O15" i="4"/>
  <c r="O57" i="4"/>
  <c r="O210" i="4"/>
  <c r="O51" i="4"/>
  <c r="O67" i="4"/>
  <c r="O62" i="4"/>
  <c r="O66" i="4"/>
  <c r="O18" i="4"/>
  <c r="O19" i="4"/>
  <c r="O64" i="4"/>
  <c r="O63" i="4"/>
  <c r="O20" i="4"/>
  <c r="O71" i="4"/>
  <c r="O72" i="4"/>
  <c r="O53" i="4"/>
  <c r="O61" i="4"/>
  <c r="O21" i="4"/>
  <c r="N67" i="4"/>
  <c r="N219" i="4"/>
  <c r="N23" i="4"/>
  <c r="N73" i="4"/>
  <c r="N221" i="4"/>
  <c r="N215" i="4"/>
  <c r="N5" i="4"/>
  <c r="N19" i="4"/>
  <c r="N220" i="4"/>
  <c r="N217" i="4"/>
  <c r="N4" i="4"/>
  <c r="N74" i="4"/>
  <c r="N13" i="4"/>
  <c r="N53" i="4"/>
  <c r="N72" i="4"/>
  <c r="N57" i="4"/>
  <c r="N60" i="4"/>
  <c r="N58" i="4"/>
  <c r="N12" i="4"/>
  <c r="N62" i="4"/>
  <c r="N65" i="4"/>
  <c r="N210" i="4"/>
  <c r="N64" i="4"/>
  <c r="N61" i="4"/>
  <c r="N209" i="4"/>
  <c r="N11" i="4"/>
  <c r="N68" i="4"/>
  <c r="N14" i="4"/>
  <c r="N10" i="4"/>
  <c r="N70" i="4"/>
  <c r="N15" i="4"/>
  <c r="N211" i="4"/>
  <c r="N218" i="4"/>
  <c r="N71" i="4"/>
  <c r="N99" i="4"/>
  <c r="N56" i="4"/>
  <c r="N54" i="4"/>
  <c r="N16" i="4"/>
  <c r="N51" i="4"/>
  <c r="N69" i="4"/>
  <c r="N9" i="4"/>
  <c r="N50" i="4"/>
  <c r="N213" i="4"/>
  <c r="N8" i="4"/>
  <c r="N3" i="4"/>
  <c r="N59" i="4"/>
  <c r="N18" i="4"/>
  <c r="N63" i="4"/>
  <c r="N175" i="4"/>
  <c r="N66" i="4"/>
  <c r="N7" i="4"/>
  <c r="N222" i="4"/>
  <c r="N21" i="4"/>
  <c r="N20" i="4"/>
  <c r="N17" i="4"/>
  <c r="N55" i="4"/>
  <c r="N216" i="4"/>
  <c r="N214" i="4"/>
  <c r="N52" i="4"/>
  <c r="N212" i="4"/>
  <c r="N22" i="4"/>
  <c r="N6" i="4"/>
  <c r="M23" i="4"/>
  <c r="M72" i="4"/>
  <c r="M58" i="4"/>
  <c r="M19" i="4"/>
  <c r="M73" i="4"/>
  <c r="M74" i="4"/>
  <c r="M71" i="4"/>
  <c r="M13" i="4"/>
  <c r="M57" i="4"/>
  <c r="M12" i="4"/>
  <c r="M67" i="4"/>
  <c r="M11" i="4"/>
  <c r="M99" i="4"/>
  <c r="M56" i="4"/>
  <c r="M9" i="4"/>
  <c r="M8" i="4"/>
  <c r="M63" i="4"/>
  <c r="M20" i="4"/>
  <c r="M55" i="4"/>
  <c r="M51" i="4"/>
  <c r="M7" i="4"/>
  <c r="M17" i="4"/>
  <c r="M6" i="4"/>
  <c r="M5" i="4"/>
  <c r="M4" i="4"/>
  <c r="M62" i="4"/>
  <c r="M54" i="4"/>
  <c r="M3" i="4"/>
  <c r="M21" i="4"/>
  <c r="M211" i="4"/>
  <c r="M209" i="4"/>
  <c r="M221" i="4"/>
  <c r="M64" i="4"/>
  <c r="M53" i="4"/>
  <c r="M61" i="4"/>
  <c r="M52" i="4"/>
  <c r="M68" i="4"/>
  <c r="M50" i="4"/>
  <c r="M150" i="4"/>
  <c r="M220" i="4"/>
  <c r="M219" i="4"/>
  <c r="M175" i="4"/>
  <c r="M216" i="4"/>
  <c r="M60" i="4"/>
  <c r="M218" i="4"/>
  <c r="M215" i="4"/>
  <c r="M217" i="4"/>
  <c r="M22" i="4"/>
  <c r="M18" i="4"/>
  <c r="M222" i="4"/>
  <c r="M214" i="4"/>
  <c r="M210" i="4"/>
  <c r="M66" i="4"/>
  <c r="M59" i="4"/>
  <c r="M213" i="4"/>
  <c r="M69" i="4"/>
  <c r="M16" i="4"/>
  <c r="M212" i="4"/>
  <c r="M70" i="4"/>
  <c r="M14" i="4"/>
  <c r="M15" i="4"/>
  <c r="M10" i="4"/>
  <c r="M65" i="4"/>
  <c r="L74" i="4"/>
  <c r="L19" i="4"/>
  <c r="L67" i="4"/>
  <c r="L5" i="4"/>
  <c r="L6" i="4"/>
  <c r="L53" i="4"/>
  <c r="L215" i="4"/>
  <c r="L212" i="4"/>
  <c r="L22" i="4"/>
  <c r="L221" i="4"/>
  <c r="L7" i="4"/>
  <c r="L220" i="4"/>
  <c r="L217" i="4"/>
  <c r="L222" i="4"/>
  <c r="L21" i="4"/>
  <c r="L55" i="4"/>
  <c r="L68" i="4"/>
  <c r="L219" i="4"/>
  <c r="L20" i="4"/>
  <c r="L63" i="4"/>
  <c r="L213" i="4"/>
  <c r="L66" i="4"/>
  <c r="L17" i="4"/>
  <c r="L23" i="4"/>
  <c r="L8" i="4"/>
  <c r="L175" i="4"/>
  <c r="L59" i="4"/>
  <c r="L9" i="4"/>
  <c r="L50" i="4"/>
  <c r="L69" i="4"/>
  <c r="L3" i="4"/>
  <c r="L49" i="4"/>
  <c r="L56" i="4"/>
  <c r="L61" i="4"/>
  <c r="L216" i="4"/>
  <c r="L16" i="4"/>
  <c r="L99" i="4"/>
  <c r="L211" i="4"/>
  <c r="L71" i="4"/>
  <c r="L70" i="4"/>
  <c r="L214" i="4"/>
  <c r="L52" i="4"/>
  <c r="L51" i="4"/>
  <c r="L10" i="4"/>
  <c r="L11" i="4"/>
  <c r="L4" i="4"/>
  <c r="L14" i="4"/>
  <c r="L64" i="4"/>
  <c r="L209" i="4"/>
  <c r="L62" i="4"/>
  <c r="L15" i="4"/>
  <c r="L73" i="4"/>
  <c r="L18" i="4"/>
  <c r="L12" i="4"/>
  <c r="L210" i="4"/>
  <c r="L57" i="4"/>
  <c r="L72" i="4"/>
  <c r="L60" i="4"/>
  <c r="L13" i="4"/>
  <c r="L150" i="4"/>
  <c r="L58" i="4"/>
  <c r="L65" i="4"/>
  <c r="L218" i="4"/>
  <c r="L54" i="4"/>
  <c r="K61" i="4"/>
  <c r="K60" i="4"/>
  <c r="K215" i="4"/>
  <c r="K59" i="4"/>
  <c r="K58" i="4"/>
  <c r="K57" i="4"/>
  <c r="K56" i="4"/>
  <c r="K55" i="4"/>
  <c r="K54" i="4"/>
  <c r="K53" i="4"/>
  <c r="K52" i="4"/>
  <c r="K51" i="4"/>
  <c r="K72" i="4"/>
  <c r="K50" i="4"/>
  <c r="K214" i="4"/>
  <c r="K49" i="4"/>
  <c r="K23" i="4"/>
  <c r="K22" i="4"/>
  <c r="K21" i="4"/>
  <c r="K20" i="4"/>
  <c r="K19" i="4"/>
  <c r="K18" i="4"/>
  <c r="K17" i="4"/>
  <c r="K16" i="4"/>
  <c r="K15" i="4"/>
  <c r="K14" i="4"/>
  <c r="K213" i="4"/>
  <c r="K13" i="4"/>
  <c r="K12" i="4"/>
  <c r="K11" i="4"/>
  <c r="K10" i="4"/>
  <c r="K9" i="4"/>
  <c r="K8" i="4"/>
  <c r="K212" i="4"/>
  <c r="K7" i="4"/>
  <c r="K6" i="4"/>
  <c r="K5" i="4"/>
  <c r="K4" i="4"/>
  <c r="K3" i="4"/>
  <c r="K211" i="4"/>
  <c r="K210" i="4"/>
  <c r="K209" i="4"/>
  <c r="K221" i="4"/>
  <c r="K220" i="4"/>
  <c r="K219" i="4"/>
  <c r="K218" i="4"/>
  <c r="K217" i="4"/>
  <c r="K222" i="4"/>
  <c r="K175" i="4"/>
  <c r="K150" i="4"/>
  <c r="K99" i="4"/>
  <c r="K74" i="4"/>
  <c r="K73" i="4"/>
  <c r="K216" i="4"/>
  <c r="K71" i="4"/>
  <c r="K70" i="4"/>
  <c r="K69" i="4"/>
  <c r="K68" i="4"/>
  <c r="K67" i="4"/>
  <c r="K66" i="4"/>
  <c r="K65" i="4"/>
  <c r="K64" i="4"/>
  <c r="K63" i="4"/>
  <c r="K62" i="4"/>
  <c r="J71" i="4"/>
  <c r="J22" i="4"/>
  <c r="J69" i="4"/>
  <c r="J213" i="4"/>
  <c r="J66" i="4"/>
  <c r="J61" i="4"/>
  <c r="J58" i="4"/>
  <c r="J60" i="4"/>
  <c r="J53" i="4"/>
  <c r="J21" i="4"/>
  <c r="J10" i="4"/>
  <c r="J7" i="4"/>
  <c r="J211" i="4"/>
  <c r="J13" i="4"/>
  <c r="J222" i="4"/>
  <c r="J219" i="4"/>
  <c r="J23" i="4"/>
  <c r="J18" i="4"/>
  <c r="J212" i="4"/>
  <c r="J68" i="4"/>
  <c r="J62" i="4"/>
  <c r="J6" i="4"/>
  <c r="J70" i="4"/>
  <c r="J4" i="4"/>
  <c r="J217" i="4"/>
  <c r="J74" i="4"/>
  <c r="J3" i="4"/>
  <c r="J63" i="4"/>
  <c r="J51" i="4"/>
  <c r="J20" i="4"/>
  <c r="J5" i="4"/>
  <c r="J210" i="4"/>
  <c r="J57" i="4"/>
  <c r="J216" i="4"/>
  <c r="J11" i="4"/>
  <c r="J175" i="4"/>
  <c r="J209" i="4"/>
  <c r="J14" i="4"/>
  <c r="J73" i="4"/>
  <c r="J54" i="4"/>
  <c r="J52" i="4"/>
  <c r="J218" i="4"/>
  <c r="J64" i="4"/>
  <c r="J214" i="4"/>
  <c r="J72" i="4"/>
  <c r="J99" i="4"/>
  <c r="J49" i="4"/>
  <c r="J8" i="4"/>
  <c r="J50" i="4"/>
  <c r="J19" i="4"/>
  <c r="J67" i="4"/>
  <c r="J150" i="4"/>
  <c r="J17" i="4"/>
  <c r="J215" i="4"/>
  <c r="J56" i="4"/>
  <c r="J16" i="4"/>
  <c r="J9" i="4"/>
  <c r="J65" i="4"/>
  <c r="J15" i="4"/>
  <c r="J55" i="4"/>
  <c r="J221" i="4"/>
  <c r="J220" i="4"/>
  <c r="J59" i="4"/>
  <c r="J12" i="4"/>
  <c r="I61" i="4"/>
  <c r="I51" i="4"/>
  <c r="I21" i="4"/>
  <c r="I23" i="4"/>
  <c r="I212" i="4"/>
  <c r="I58" i="4"/>
  <c r="I62" i="4"/>
  <c r="I213" i="4"/>
  <c r="I63" i="4"/>
  <c r="I20" i="4"/>
  <c r="I57" i="4"/>
  <c r="I11" i="4"/>
  <c r="I214" i="4"/>
  <c r="I64" i="4"/>
  <c r="I49" i="4"/>
  <c r="I19" i="4"/>
  <c r="I215" i="4"/>
  <c r="I56" i="4"/>
  <c r="I65" i="4"/>
  <c r="I55" i="4"/>
  <c r="I66" i="4"/>
  <c r="I10" i="4"/>
  <c r="I18" i="4"/>
  <c r="I216" i="4"/>
  <c r="I67" i="4"/>
  <c r="I54" i="4"/>
  <c r="I5" i="4"/>
  <c r="I68" i="4"/>
  <c r="I99" i="4"/>
  <c r="I17" i="4"/>
  <c r="I222" i="4"/>
  <c r="I217" i="4"/>
  <c r="I4" i="4"/>
  <c r="I69" i="4"/>
  <c r="I9" i="4"/>
  <c r="I218" i="4"/>
  <c r="I16" i="4"/>
  <c r="I175" i="4"/>
  <c r="I70" i="4"/>
  <c r="I219" i="4"/>
  <c r="I71" i="4"/>
  <c r="I220" i="4"/>
  <c r="I15" i="4"/>
  <c r="I53" i="4"/>
  <c r="I8" i="4"/>
  <c r="I72" i="4"/>
  <c r="I6" i="4"/>
  <c r="I150" i="4"/>
  <c r="I73" i="4"/>
  <c r="I52" i="4"/>
  <c r="I221" i="4"/>
  <c r="I209" i="4"/>
  <c r="I211" i="4"/>
  <c r="I74" i="4"/>
  <c r="I3" i="4"/>
  <c r="I13" i="4"/>
  <c r="I50" i="4"/>
  <c r="I7" i="4"/>
  <c r="I60" i="4"/>
  <c r="I22" i="4"/>
  <c r="I14" i="4"/>
  <c r="I59" i="4"/>
  <c r="I210" i="4"/>
  <c r="I12" i="4"/>
  <c r="H52" i="4"/>
  <c r="H56" i="4"/>
  <c r="H218" i="4"/>
  <c r="H15" i="4"/>
  <c r="H70" i="4"/>
  <c r="H19" i="4"/>
  <c r="H215" i="4"/>
  <c r="H65" i="4"/>
  <c r="H222" i="4"/>
  <c r="H72" i="4"/>
  <c r="H54" i="4"/>
  <c r="H49" i="4"/>
  <c r="H8" i="4"/>
  <c r="H69" i="4"/>
  <c r="H16" i="4"/>
  <c r="H150" i="4"/>
  <c r="H64" i="4"/>
  <c r="H73" i="4"/>
  <c r="H67" i="4"/>
  <c r="H57" i="4"/>
  <c r="H17" i="4"/>
  <c r="H5" i="4"/>
  <c r="H217" i="4"/>
  <c r="H14" i="4"/>
  <c r="H6" i="4"/>
  <c r="H53" i="4"/>
  <c r="H175" i="4"/>
  <c r="H11" i="4"/>
  <c r="H210" i="4"/>
  <c r="H20" i="4"/>
  <c r="H68" i="4"/>
  <c r="H4" i="4"/>
  <c r="H74" i="4"/>
  <c r="H18" i="4"/>
  <c r="H63" i="4"/>
  <c r="H58" i="4"/>
  <c r="H3" i="4"/>
  <c r="H212" i="4"/>
  <c r="H62" i="4"/>
  <c r="H219" i="4"/>
  <c r="H125" i="4"/>
  <c r="H23" i="4"/>
  <c r="H51" i="4"/>
  <c r="H13" i="4"/>
  <c r="H10" i="4"/>
  <c r="H21" i="4"/>
  <c r="H216" i="4"/>
  <c r="H7" i="4"/>
  <c r="H50" i="4"/>
  <c r="H211" i="4"/>
  <c r="H71" i="4"/>
  <c r="H213" i="4"/>
  <c r="H61" i="4"/>
  <c r="H60" i="4"/>
  <c r="H22" i="4"/>
  <c r="H214" i="4"/>
  <c r="H9" i="4"/>
  <c r="H59" i="4"/>
  <c r="H209" i="4"/>
  <c r="H66" i="4"/>
  <c r="H220" i="4"/>
  <c r="H99" i="4"/>
  <c r="H55" i="4"/>
  <c r="H12" i="4"/>
  <c r="H221" i="4"/>
  <c r="G5" i="4"/>
  <c r="G61" i="4"/>
  <c r="G4" i="4"/>
  <c r="G211" i="4"/>
  <c r="G21" i="4"/>
  <c r="G210" i="4"/>
  <c r="G71" i="4"/>
  <c r="G53" i="4"/>
  <c r="G209" i="4"/>
  <c r="G62" i="4"/>
  <c r="G221" i="4"/>
  <c r="G15" i="4"/>
  <c r="G150" i="4"/>
  <c r="G63" i="4"/>
  <c r="G20" i="4"/>
  <c r="G220" i="4"/>
  <c r="G175" i="4"/>
  <c r="G72" i="4"/>
  <c r="G219" i="4"/>
  <c r="G218" i="4"/>
  <c r="G217" i="4"/>
  <c r="G64" i="4"/>
  <c r="G222" i="4"/>
  <c r="G73" i="4"/>
  <c r="G54" i="4"/>
  <c r="G65" i="4"/>
  <c r="G14" i="4"/>
  <c r="G19" i="4"/>
  <c r="G216" i="4"/>
  <c r="G55" i="4"/>
  <c r="G56" i="4"/>
  <c r="G215" i="4"/>
  <c r="G214" i="4"/>
  <c r="G57" i="4"/>
  <c r="G66" i="4"/>
  <c r="G74" i="4"/>
  <c r="G213" i="4"/>
  <c r="G58" i="4"/>
  <c r="G212" i="4"/>
  <c r="G18" i="4"/>
  <c r="G13" i="4"/>
  <c r="G23" i="4"/>
  <c r="G67" i="4"/>
  <c r="G59" i="4"/>
  <c r="G60" i="4"/>
  <c r="G22" i="4"/>
  <c r="G68" i="4"/>
  <c r="G12" i="4"/>
  <c r="G125" i="4"/>
  <c r="G11" i="4"/>
  <c r="G17" i="4"/>
  <c r="G10" i="4"/>
  <c r="G99" i="4"/>
  <c r="G51" i="4"/>
  <c r="G9" i="4"/>
  <c r="G8" i="4"/>
  <c r="G69" i="4"/>
  <c r="G3" i="4"/>
  <c r="G7" i="4"/>
  <c r="G49" i="4"/>
  <c r="G70" i="4"/>
  <c r="G52" i="4"/>
  <c r="G16" i="4"/>
  <c r="G6" i="4"/>
  <c r="G50" i="4"/>
  <c r="F61" i="4"/>
  <c r="F5" i="4"/>
  <c r="F53" i="4"/>
  <c r="F21" i="4"/>
  <c r="F74" i="4"/>
  <c r="F214" i="4"/>
  <c r="F62" i="4"/>
  <c r="F212" i="4"/>
  <c r="F10" i="4"/>
  <c r="F63" i="4"/>
  <c r="F20" i="4"/>
  <c r="F13" i="4"/>
  <c r="F220" i="4"/>
  <c r="F60" i="4"/>
  <c r="F209" i="4"/>
  <c r="F64" i="4"/>
  <c r="F8" i="4"/>
  <c r="F12" i="4"/>
  <c r="F65" i="4"/>
  <c r="F6" i="4"/>
  <c r="F19" i="4"/>
  <c r="F150" i="4"/>
  <c r="F59" i="4"/>
  <c r="F210" i="4"/>
  <c r="F221" i="4"/>
  <c r="F66" i="4"/>
  <c r="F99" i="4"/>
  <c r="F54" i="4"/>
  <c r="F67" i="4"/>
  <c r="F222" i="4"/>
  <c r="F18" i="4"/>
  <c r="F23" i="4"/>
  <c r="F58" i="4"/>
  <c r="F11" i="4"/>
  <c r="F68" i="4"/>
  <c r="F57" i="4"/>
  <c r="F52" i="4"/>
  <c r="F50" i="4"/>
  <c r="F17" i="4"/>
  <c r="F218" i="4"/>
  <c r="F7" i="4"/>
  <c r="F3" i="4"/>
  <c r="F69" i="4"/>
  <c r="F51" i="4"/>
  <c r="F4" i="4"/>
  <c r="F70" i="4"/>
  <c r="F16" i="4"/>
  <c r="F211" i="4"/>
  <c r="F24" i="4"/>
  <c r="F49" i="4"/>
  <c r="F215" i="4"/>
  <c r="F71" i="4"/>
  <c r="F56" i="4"/>
  <c r="F55" i="4"/>
  <c r="F72" i="4"/>
  <c r="F15" i="4"/>
  <c r="F175" i="4"/>
  <c r="F216" i="4"/>
  <c r="F125" i="4"/>
  <c r="F219" i="4"/>
  <c r="F217" i="4"/>
  <c r="F73" i="4"/>
  <c r="F213" i="4"/>
  <c r="F14" i="4"/>
  <c r="F9" i="4"/>
  <c r="F22" i="4"/>
  <c r="E211" i="4"/>
  <c r="E62" i="4"/>
  <c r="E21" i="4"/>
  <c r="E56" i="4"/>
  <c r="E215" i="4"/>
  <c r="E63" i="4"/>
  <c r="E20" i="4"/>
  <c r="E49" i="4"/>
  <c r="E11" i="4"/>
  <c r="E64" i="4"/>
  <c r="E214" i="4"/>
  <c r="E65" i="4"/>
  <c r="E24" i="4"/>
  <c r="E19" i="4"/>
  <c r="E57" i="4"/>
  <c r="E53" i="4"/>
  <c r="E66" i="4"/>
  <c r="E58" i="4"/>
  <c r="E67" i="4"/>
  <c r="E52" i="4"/>
  <c r="E18" i="4"/>
  <c r="E51" i="4"/>
  <c r="E68" i="4"/>
  <c r="E212" i="4"/>
  <c r="E61" i="4"/>
  <c r="E17" i="4"/>
  <c r="E50" i="4"/>
  <c r="E69" i="4"/>
  <c r="E23" i="4"/>
  <c r="E70" i="4"/>
  <c r="E16" i="4"/>
  <c r="E12" i="4"/>
  <c r="E59" i="4"/>
  <c r="E71" i="4"/>
  <c r="E60" i="4"/>
  <c r="E72" i="4"/>
  <c r="E15" i="4"/>
  <c r="E22" i="4"/>
  <c r="E213" i="4"/>
  <c r="E73" i="4"/>
  <c r="E14" i="4"/>
  <c r="E74" i="4"/>
  <c r="E13" i="4"/>
  <c r="E5" i="4"/>
  <c r="E10" i="4"/>
  <c r="E55" i="4"/>
  <c r="E99" i="4"/>
  <c r="E7" i="4"/>
  <c r="E222" i="4"/>
  <c r="E4" i="4"/>
  <c r="E125" i="4"/>
  <c r="E217" i="4"/>
  <c r="E54" i="4"/>
  <c r="E3" i="4"/>
  <c r="E175" i="4"/>
  <c r="E218" i="4"/>
  <c r="E9" i="4"/>
  <c r="E210" i="4"/>
  <c r="E209" i="4"/>
  <c r="E219" i="4"/>
  <c r="E220" i="4"/>
  <c r="E221" i="4"/>
  <c r="E150" i="4"/>
  <c r="E8" i="4"/>
  <c r="E6" i="4"/>
  <c r="E216" i="4"/>
  <c r="D62" i="4"/>
  <c r="D21" i="4"/>
  <c r="D63" i="4"/>
  <c r="D20" i="4"/>
  <c r="D64" i="4"/>
  <c r="D65" i="4"/>
  <c r="D52" i="4"/>
  <c r="D19" i="4"/>
  <c r="D66" i="4"/>
  <c r="D67" i="4"/>
  <c r="D68" i="4"/>
  <c r="D69" i="4"/>
  <c r="D17" i="4"/>
  <c r="D70" i="4"/>
  <c r="D16" i="4"/>
  <c r="D71" i="4"/>
  <c r="D72" i="4"/>
  <c r="D15" i="4"/>
  <c r="D73" i="4"/>
  <c r="D175" i="4"/>
  <c r="D10" i="4"/>
  <c r="D210" i="4"/>
  <c r="D220" i="4"/>
  <c r="D59" i="4"/>
  <c r="D55" i="4"/>
  <c r="D7" i="4"/>
  <c r="D5" i="4"/>
  <c r="D53" i="4"/>
  <c r="D60" i="4"/>
  <c r="D8" i="4"/>
  <c r="D3" i="4"/>
  <c r="D50" i="4"/>
  <c r="D213" i="4"/>
  <c r="D221" i="4"/>
  <c r="D150" i="4"/>
  <c r="D9" i="4"/>
  <c r="D209" i="4"/>
  <c r="D6" i="4"/>
  <c r="D13" i="4"/>
  <c r="D51" i="4"/>
  <c r="D212" i="4"/>
  <c r="D54" i="4"/>
  <c r="D222" i="4"/>
  <c r="D217" i="4"/>
  <c r="D74" i="4"/>
  <c r="D216" i="4"/>
  <c r="D125" i="4"/>
  <c r="D99" i="4"/>
  <c r="D14" i="4"/>
  <c r="D211" i="4"/>
  <c r="D22" i="4"/>
  <c r="D214" i="4"/>
  <c r="D18" i="4"/>
  <c r="D61" i="4"/>
  <c r="D215" i="4"/>
  <c r="D49" i="4"/>
  <c r="D57" i="4"/>
  <c r="D11" i="4"/>
  <c r="D201" i="4"/>
  <c r="D4" i="4"/>
  <c r="D24" i="4"/>
  <c r="D58" i="4"/>
  <c r="D56" i="4"/>
  <c r="D219" i="4"/>
  <c r="D23" i="4"/>
  <c r="D12" i="4"/>
  <c r="D218" i="4"/>
  <c r="F72" i="1"/>
  <c r="G72" i="1"/>
  <c r="F71" i="1"/>
  <c r="G71" i="1"/>
  <c r="F70" i="1"/>
  <c r="G70" i="1"/>
  <c r="F69" i="1"/>
  <c r="G69" i="1"/>
  <c r="F68" i="1"/>
  <c r="G68" i="1"/>
  <c r="F66" i="1"/>
  <c r="G66" i="1"/>
  <c r="F65" i="1"/>
  <c r="G65" i="1"/>
  <c r="F64" i="1"/>
  <c r="G64" i="1"/>
  <c r="G63" i="1"/>
  <c r="F63" i="1"/>
  <c r="F62" i="1"/>
  <c r="G62" i="1"/>
  <c r="F61" i="1"/>
  <c r="G61" i="1"/>
  <c r="G60" i="1"/>
  <c r="F60" i="1"/>
  <c r="G59" i="1"/>
  <c r="F59" i="1"/>
  <c r="F58" i="1"/>
  <c r="G58" i="1"/>
  <c r="F57" i="1"/>
  <c r="G57" i="1"/>
  <c r="F56" i="1"/>
  <c r="G56" i="1"/>
  <c r="G55" i="1"/>
  <c r="F55" i="1"/>
  <c r="F54" i="1"/>
  <c r="G54" i="1"/>
  <c r="G53" i="1"/>
  <c r="F53" i="1"/>
  <c r="F52" i="1"/>
  <c r="G52" i="1"/>
  <c r="F51" i="1"/>
  <c r="G51" i="1"/>
  <c r="F50" i="1"/>
  <c r="G50" i="1"/>
  <c r="H46" i="1"/>
  <c r="G46" i="1"/>
  <c r="D46" i="1"/>
  <c r="I46" i="1" s="1"/>
  <c r="E46" i="1"/>
  <c r="B46" i="1"/>
  <c r="F46" i="1"/>
  <c r="C46" i="1"/>
  <c r="G45" i="1"/>
  <c r="D45" i="1"/>
  <c r="I45" i="1" s="1"/>
  <c r="H45" i="1"/>
  <c r="F45" i="1"/>
  <c r="C45" i="1"/>
  <c r="E45" i="1"/>
  <c r="B45" i="1"/>
  <c r="E44" i="1"/>
  <c r="F44" i="1"/>
  <c r="B44" i="1"/>
  <c r="D44" i="1"/>
  <c r="I44" i="1" s="1"/>
  <c r="G44" i="1"/>
  <c r="H44" i="1"/>
  <c r="C44" i="1"/>
  <c r="B43" i="1"/>
  <c r="F43" i="1"/>
  <c r="C43" i="1"/>
  <c r="D43" i="1"/>
  <c r="H43" i="1"/>
  <c r="E43" i="1"/>
  <c r="I43" i="1"/>
  <c r="G43" i="1"/>
  <c r="D42" i="1"/>
  <c r="I42" i="1" s="1"/>
  <c r="C42" i="1"/>
  <c r="E42" i="1"/>
  <c r="H42" i="1"/>
  <c r="G42" i="1"/>
  <c r="B42" i="1"/>
  <c r="F42" i="1"/>
  <c r="H41" i="1"/>
  <c r="C41" i="1"/>
  <c r="E41" i="1"/>
  <c r="B41" i="1"/>
  <c r="G41" i="1"/>
  <c r="F41" i="1"/>
  <c r="D41" i="1"/>
  <c r="I41" i="1" s="1"/>
  <c r="E40" i="1"/>
  <c r="G40" i="1"/>
  <c r="F40" i="1"/>
  <c r="C40" i="1"/>
  <c r="D40" i="1"/>
  <c r="I40" i="1" s="1"/>
  <c r="B40" i="1"/>
  <c r="H40" i="1"/>
  <c r="F39" i="1"/>
  <c r="E39" i="1"/>
  <c r="C39" i="1"/>
  <c r="D39" i="1"/>
  <c r="I39" i="1"/>
  <c r="B39" i="1"/>
  <c r="G39" i="1"/>
  <c r="H39" i="1"/>
  <c r="B38" i="1"/>
  <c r="C38" i="1"/>
  <c r="H38" i="1"/>
  <c r="F38" i="1"/>
  <c r="G38" i="1"/>
  <c r="D38" i="1"/>
  <c r="I38" i="1" s="1"/>
  <c r="E38" i="1"/>
  <c r="C37" i="1"/>
  <c r="E37" i="1"/>
  <c r="H37" i="1"/>
  <c r="D37" i="1"/>
  <c r="I37" i="1" s="1"/>
  <c r="G37" i="1"/>
  <c r="F37" i="1"/>
  <c r="B37" i="1"/>
  <c r="D36" i="1"/>
  <c r="G36" i="1"/>
  <c r="I36" i="1"/>
  <c r="B36" i="1"/>
  <c r="E36" i="1"/>
  <c r="C36" i="1"/>
  <c r="F36" i="1"/>
  <c r="H36" i="1"/>
  <c r="D35" i="1"/>
  <c r="H35" i="1"/>
  <c r="F35" i="1"/>
  <c r="C35" i="1"/>
  <c r="I35" i="1"/>
  <c r="G35" i="1"/>
  <c r="E35" i="1"/>
  <c r="B35" i="1"/>
  <c r="D34" i="1"/>
  <c r="G34" i="1"/>
  <c r="I34" i="1"/>
  <c r="E34" i="1"/>
  <c r="B34" i="1"/>
  <c r="H34" i="1"/>
  <c r="F34" i="1"/>
  <c r="C34" i="1"/>
  <c r="D33" i="1"/>
  <c r="B33" i="1"/>
  <c r="G33" i="1"/>
  <c r="E33" i="1"/>
  <c r="F33" i="1"/>
  <c r="H33" i="1"/>
  <c r="I33" i="1"/>
  <c r="C33" i="1"/>
  <c r="F32" i="1"/>
  <c r="C32" i="1"/>
  <c r="H32" i="1"/>
  <c r="E32" i="1"/>
  <c r="D32" i="1"/>
  <c r="I32" i="1" s="1"/>
  <c r="B32" i="1"/>
  <c r="G32" i="1"/>
  <c r="E31" i="1"/>
  <c r="D31" i="1"/>
  <c r="C31" i="1"/>
  <c r="I31" i="1"/>
  <c r="H31" i="1"/>
  <c r="G31" i="1"/>
  <c r="F31" i="1"/>
  <c r="B31" i="1"/>
  <c r="F30" i="1"/>
  <c r="B30" i="1"/>
  <c r="D30" i="1"/>
  <c r="H30" i="1"/>
  <c r="G30" i="1"/>
  <c r="I30" i="1"/>
  <c r="C30" i="1"/>
  <c r="E30" i="1"/>
  <c r="B29" i="1"/>
  <c r="D29" i="1"/>
  <c r="G29" i="1"/>
  <c r="H29" i="1"/>
  <c r="C29" i="1"/>
  <c r="E29" i="1"/>
  <c r="I29" i="1"/>
  <c r="F29" i="1"/>
  <c r="H28" i="1"/>
  <c r="B28" i="1"/>
  <c r="D28" i="1"/>
  <c r="I28" i="1" s="1"/>
  <c r="F28" i="1"/>
  <c r="E28" i="1"/>
  <c r="F23" i="1"/>
  <c r="G23" i="1"/>
  <c r="G22" i="1"/>
  <c r="F22" i="1"/>
  <c r="F21" i="1"/>
  <c r="G21" i="1"/>
  <c r="G20" i="1"/>
  <c r="F20" i="1"/>
  <c r="G19" i="1"/>
  <c r="F19" i="1"/>
  <c r="F18" i="1"/>
  <c r="G18" i="1"/>
  <c r="G17" i="1"/>
  <c r="F17" i="1"/>
  <c r="G16" i="1"/>
  <c r="F16" i="1"/>
  <c r="G15" i="1"/>
  <c r="F15" i="1"/>
  <c r="G14" i="1"/>
  <c r="F14" i="1"/>
  <c r="C24" i="1"/>
  <c r="G13" i="1"/>
  <c r="F13" i="1"/>
  <c r="D24" i="1"/>
  <c r="D10" i="1"/>
  <c r="E24" i="1" s="1"/>
  <c r="C80" i="1"/>
  <c r="C79" i="1"/>
  <c r="C78" i="1"/>
  <c r="C77" i="1"/>
  <c r="C76" i="1"/>
  <c r="G67" i="1"/>
  <c r="B78" i="1"/>
  <c r="D77" i="1"/>
  <c r="B76" i="1"/>
  <c r="B79" i="1"/>
  <c r="D79" i="1"/>
  <c r="B80" i="1"/>
  <c r="D80" i="1"/>
  <c r="D78" i="1"/>
  <c r="B77" i="1"/>
  <c r="D76" i="1"/>
  <c r="B6" i="1"/>
  <c r="H23" i="1" l="1"/>
  <c r="I23" i="1" s="1"/>
  <c r="H15" i="1"/>
  <c r="I15" i="1" s="1"/>
  <c r="H18" i="1"/>
  <c r="I18" i="1" s="1"/>
  <c r="H14" i="1"/>
  <c r="I14" i="1" s="1"/>
  <c r="H22" i="1"/>
  <c r="I22" i="1" s="1"/>
  <c r="G10" i="1"/>
  <c r="H10" i="1" s="1"/>
  <c r="I24" i="1" s="1"/>
  <c r="H13" i="1"/>
  <c r="H16" i="1"/>
  <c r="I16" i="1" s="1"/>
  <c r="H17" i="1"/>
  <c r="I17" i="1" s="1"/>
  <c r="H19" i="1"/>
  <c r="I19" i="1" s="1"/>
  <c r="H20" i="1"/>
  <c r="I20" i="1" s="1"/>
  <c r="H21" i="1"/>
  <c r="I21" i="1" s="1"/>
  <c r="I13" i="1" l="1"/>
  <c r="H24" i="1"/>
</calcChain>
</file>

<file path=xl/sharedStrings.xml><?xml version="1.0" encoding="utf-8"?>
<sst xmlns="http://schemas.openxmlformats.org/spreadsheetml/2006/main" count="989" uniqueCount="297">
  <si>
    <t>لوحة نتائج الاختبار التشخيصي</t>
  </si>
  <si>
    <t>الإعدادات</t>
  </si>
  <si>
    <t>حد الإتقان (نسبة مئوية)</t>
  </si>
  <si>
    <t>خلية صفراء = قابلة للتعديل</t>
  </si>
  <si>
    <t>الدرجة الكلية للاختبار</t>
  </si>
  <si>
    <t>درجة الإتقان</t>
  </si>
  <si>
    <t>مؤشرات عامة</t>
  </si>
  <si>
    <t>عدد الطلاب</t>
  </si>
  <si>
    <t>عدد المرصودين</t>
  </si>
  <si>
    <t>متوسط الدرجة</t>
  </si>
  <si>
    <t>النسبة المئوية</t>
  </si>
  <si>
    <t>أعلى درجة</t>
  </si>
  <si>
    <t>أدنى درجة</t>
  </si>
  <si>
    <t>عدد المتقنين</t>
  </si>
  <si>
    <t>نسبة الإتقان</t>
  </si>
  <si>
    <t>الانحراف المعياري</t>
  </si>
  <si>
    <t>النتائج حسب الفصل</t>
  </si>
  <si>
    <t>الفصل</t>
  </si>
  <si>
    <t>10/1</t>
  </si>
  <si>
    <t>10/2</t>
  </si>
  <si>
    <t>10/3</t>
  </si>
  <si>
    <t>10/4</t>
  </si>
  <si>
    <t>10/5</t>
  </si>
  <si>
    <t>10/6</t>
  </si>
  <si>
    <t>10/7</t>
  </si>
  <si>
    <t>10/8</t>
  </si>
  <si>
    <t>10/9</t>
  </si>
  <si>
    <t>10/10</t>
  </si>
  <si>
    <t>10/ESE</t>
  </si>
  <si>
    <t>الإجمالي</t>
  </si>
  <si>
    <t>النتائج حسب المهارة</t>
  </si>
  <si>
    <t>المهارة</t>
  </si>
  <si>
    <t>عدد الأسئلة</t>
  </si>
  <si>
    <t>الدرجة الكلية</t>
  </si>
  <si>
    <t>متوسط الإتقان</t>
  </si>
  <si>
    <t>نسبة المتقنين</t>
  </si>
  <si>
    <t>أعلى نسبة</t>
  </si>
  <si>
    <t>أدنى نسبة</t>
  </si>
  <si>
    <t>الترتيب (1=الأضعف)</t>
  </si>
  <si>
    <t>النتائج حسب السؤال</t>
  </si>
  <si>
    <t>السؤال</t>
  </si>
  <si>
    <t>نسبة النجاح</t>
  </si>
  <si>
    <t>عدد من حصل على صفر</t>
  </si>
  <si>
    <t>ملاحظة</t>
  </si>
  <si>
    <t>توزيع المستويات</t>
  </si>
  <si>
    <t>المستوى</t>
  </si>
  <si>
    <t>النسبة</t>
  </si>
  <si>
    <t>المدى بالدرجات</t>
  </si>
  <si>
    <t>ممتاز (90% فأكثر)</t>
  </si>
  <si>
    <t>جيد جدًا (80% – 89%)</t>
  </si>
  <si>
    <t>جيد (70% – 79%)</t>
  </si>
  <si>
    <t>مقبول (60% – 69%)</t>
  </si>
  <si>
    <t>دون المستوى (أقل من 60%)</t>
  </si>
  <si>
    <t>طريقة الاستخدام</t>
  </si>
  <si>
    <t>١) في ورقة (المهارات): اكتب المهارات في العمود الأول، ثم اربط كل سؤال بمهارته واكتب درجته الكلية.</t>
  </si>
  <si>
    <t>٢) في ورقة (الرصد): أدخل درجة كل طالب في كل سؤال. تُترك الخلية فارغة إذا لم يُرصد الطالب.</t>
  </si>
  <si>
    <t>٣) ورقة (التحليل) ولوحة النتائج تُحدَّثان تلقائيًا. يمكنك تغيير حد الإتقان في الخلية B4 أعلاه.</t>
  </si>
  <si>
    <t xml:space="preserve">قائمة المهارات </t>
  </si>
  <si>
    <t>أدخل قائمة  المهارات المطلوب تحليلها في الجدول المجاور</t>
  </si>
  <si>
    <t xml:space="preserve">السؤال </t>
  </si>
  <si>
    <t xml:space="preserve">المهارة </t>
  </si>
  <si>
    <t>الفصول</t>
  </si>
  <si>
    <t>فحص الجاهزية</t>
  </si>
  <si>
    <t>مجموع الدرجات الكلية للاختبار</t>
  </si>
  <si>
    <t>عدد الأسئلة المرتبطة بمهارة</t>
  </si>
  <si>
    <t>أسئلة بلا مهارة (يجب أن تكون 0)</t>
  </si>
  <si>
    <t>أسئلة بلا درجة كلية (يجب أن تكون 0)</t>
  </si>
  <si>
    <t>الخلايا الصفراء هي خلايا الإدخال: اكتب المهارات في العمود (قائمة المهارات)، ثم اربط كل سؤال بمهارة واكتب درجته الكلية.</t>
  </si>
  <si>
    <t xml:space="preserve">اسم الطالب </t>
  </si>
  <si>
    <t>الصف</t>
  </si>
  <si>
    <t>الأسئلة</t>
  </si>
  <si>
    <t>مجموع درجات الطالب</t>
  </si>
  <si>
    <t>احمد عمر سعيد صالح الحسن</t>
  </si>
  <si>
    <t>بكر الخلف</t>
  </si>
  <si>
    <t>تميم عبدالعزيز عثمان بخيت الغانم</t>
  </si>
  <si>
    <t>جابر حمد جابر ذروه البريد</t>
  </si>
  <si>
    <t>جاسم جابر جاسم الشقيرى المهندى</t>
  </si>
  <si>
    <t>جاسم محمد مبارك لملوم المسيفرى</t>
  </si>
  <si>
    <t>جاسم محمد ناصر البوعفره الكوارى</t>
  </si>
  <si>
    <t>حمد خالد حسان نصر الحجيلي</t>
  </si>
  <si>
    <t>حمد عيد عبدالكريم عيد الجاسم</t>
  </si>
  <si>
    <t>سعود عثمان مرزوق فرج العبدالله</t>
  </si>
  <si>
    <t>سيف بطى سيف البطى الكعبى</t>
  </si>
  <si>
    <t>عبدالرحمن مبارك حسن بدو العبدالله</t>
  </si>
  <si>
    <t>عبدالعزيز ثابت زعال الجميره</t>
  </si>
  <si>
    <t>عبدالله سليمان محمد الشمري</t>
  </si>
  <si>
    <t>عبدالله عبدالسلام صالح الحنش</t>
  </si>
  <si>
    <t>قحطان محمد سيف هادى ال عامر</t>
  </si>
  <si>
    <t>مبارك جوهر مبارك المسيفري الهاجري</t>
  </si>
  <si>
    <t>محمد عمران صالح المريسي</t>
  </si>
  <si>
    <t>محمود ايوب حسين القرفان</t>
  </si>
  <si>
    <t>ناصر صالح ناصر البنغيث الكوارى</t>
  </si>
  <si>
    <t>وليد سليم زايد وليد الفهد</t>
  </si>
  <si>
    <t>احمد حسن على عبدالله الغريرى</t>
  </si>
  <si>
    <t>ادهم عصام يوسف الدريس</t>
  </si>
  <si>
    <t>تميم حمد جعيثن عبدالله الدوسرى</t>
  </si>
  <si>
    <t>تميم مشعل عزيز ثوينى الشمرى</t>
  </si>
  <si>
    <t>جاسم محمد سالم عبدالله الشمرى</t>
  </si>
  <si>
    <t>حمد على عنتر المنخس المرى</t>
  </si>
  <si>
    <t>خاطر ماجد خاطر الخويطر العجمى</t>
  </si>
  <si>
    <t>خالد عادل محمد عيد الشمرى</t>
  </si>
  <si>
    <t>راشد حمد راشد ركيب الهاجرى</t>
  </si>
  <si>
    <t>ربيع العطار</t>
  </si>
  <si>
    <t>سعود خالد مرشد السبيعى العنزى</t>
  </si>
  <si>
    <t>صالح خالد صالح محمد الفضاله</t>
  </si>
  <si>
    <t>عبدالرحمن جمال محمد السليمانى</t>
  </si>
  <si>
    <t>عبدالعزيز علي ياسين تقي</t>
  </si>
  <si>
    <t>عبدالله جاسم عبدالله حويدر المالكى</t>
  </si>
  <si>
    <t>عبدالله خالد حميد مبارك الساعدي</t>
  </si>
  <si>
    <t>عبدالله سلطان سعيد الحقباني</t>
  </si>
  <si>
    <t>عبدالله يوسف غابش السرحاني</t>
  </si>
  <si>
    <t>فؤاد حازم فؤاد محمد مقداد</t>
  </si>
  <si>
    <t>محمد جاسم ابراهيم النصف المنصورى</t>
  </si>
  <si>
    <t>محمد رمضان سعد رمضان العتيبى</t>
  </si>
  <si>
    <t>محمد عبدالله</t>
  </si>
  <si>
    <t>محمد عبدالله احمد المهيرى المهندى</t>
  </si>
  <si>
    <t>ابرهيم خالد ابراهيم سالم الخنصوري</t>
  </si>
  <si>
    <t>احمد جابر احمد بوسيول ال سرور</t>
  </si>
  <si>
    <t>الحسن حسن مرزوق شيبان العبدالله</t>
  </si>
  <si>
    <t>النعمان جاعم صالح حسين ناصر</t>
  </si>
  <si>
    <t>خالد جاسم محمد الجابري</t>
  </si>
  <si>
    <t>خالد فيصل مهاوش حميد الناصر</t>
  </si>
  <si>
    <t>خليفه طلال ابراهيم مسعود الكعبى</t>
  </si>
  <si>
    <t>راشد احمد راشد ال الشيخ الكوارى</t>
  </si>
  <si>
    <t>سالمين بدر سالمين سيار المحمد</t>
  </si>
  <si>
    <t>سليمان عبدالله سليمان سعد السقطري</t>
  </si>
  <si>
    <t>شداد سالم فراج سالم السحوتى</t>
  </si>
  <si>
    <t>صالح فكري درويش صالح الصلاحي</t>
  </si>
  <si>
    <t>عبدالرحمن حمد عبدالرحمن عبدالله الهيدوس</t>
  </si>
  <si>
    <t>عيد على عيد جاسم المهيزع</t>
  </si>
  <si>
    <t>فهد تركى سالم شيحان العنزى</t>
  </si>
  <si>
    <t>ليث بشير كريم الشمري</t>
  </si>
  <si>
    <t>محمد احمد سنان العجلان الكعبى</t>
  </si>
  <si>
    <t>محمد نور الخلف</t>
  </si>
  <si>
    <t>يوسف ناصر محمد ملاصالح الجابر</t>
  </si>
  <si>
    <t>يوسف ناصر محمد يوسف حمدان</t>
  </si>
  <si>
    <t>أحمد محمد سيد أحمد محمد</t>
  </si>
  <si>
    <t>الحسن علي جمعه حمد السعيدي</t>
  </si>
  <si>
    <t>جاسم محمد يوسف محمد المالكى</t>
  </si>
  <si>
    <t>جمعه زايد سعيد ال حسين الكبيسى</t>
  </si>
  <si>
    <t>جوعان يوسف جاسم على عماددهى</t>
  </si>
  <si>
    <t>سعد عبدالعزيز غانم سالم الصالح</t>
  </si>
  <si>
    <t>شاهين على عبدالله هلال المهيد</t>
  </si>
  <si>
    <t>عبدالرحمن احمد مصطفى محمد عبدالله</t>
  </si>
  <si>
    <t>عبدالعزيز على ابراهيم احمد الشيب</t>
  </si>
  <si>
    <t>عبدالله عقيل ممدوح متعب الهذال</t>
  </si>
  <si>
    <t>عبدالله محمد جمعه ال سنافي الكعبي</t>
  </si>
  <si>
    <t>عبدالله مساعد جوهر سعيد الفيصل</t>
  </si>
  <si>
    <t>عبدالله نافع قاسم الوبيرى الشمرى</t>
  </si>
  <si>
    <t>على جابر على خميس الغياثين</t>
  </si>
  <si>
    <t>عمر عبدالمنعم مفلح ابو سريس</t>
  </si>
  <si>
    <t>عناد خالد العبدالله</t>
  </si>
  <si>
    <t>غانم سالم محمد ابراهيم العبيدلى</t>
  </si>
  <si>
    <t>محمد بن عثمان بالحاج</t>
  </si>
  <si>
    <t>محمد عبدالعزيز سهل محمد السهل</t>
  </si>
  <si>
    <t>محمد مجلى محمد مجلى الغانم</t>
  </si>
  <si>
    <t>نايف صالح ناصر صالح الهتمى</t>
  </si>
  <si>
    <t>يوسف محمد عبدالله الشرفي</t>
  </si>
  <si>
    <t>اسماعيل عبدالولى احمد علمى</t>
  </si>
  <si>
    <t>انس عادل محمد على يوسف</t>
  </si>
  <si>
    <t>حسام علي شاكوش</t>
  </si>
  <si>
    <t>خالد سعد مناور الشمرى</t>
  </si>
  <si>
    <t>خليفه راشد على الكشاشى المهندى</t>
  </si>
  <si>
    <t>راشد احمد راشد حمد النعيمي</t>
  </si>
  <si>
    <t>سعود عبدالعزيز تركى صالح التركى</t>
  </si>
  <si>
    <t>عبدالرحمن محمد انصارى</t>
  </si>
  <si>
    <t>عبدالعزيز عبدالله حسن محمد الهيدوس</t>
  </si>
  <si>
    <t>عبدالله سعد احمد سعد الخليفى</t>
  </si>
  <si>
    <t>عبدالله على سلطان عبدالله الخلف</t>
  </si>
  <si>
    <t>عبدالله ناصر خليفه الرمالى الشمرى</t>
  </si>
  <si>
    <t>عبدالله ناصر محمدبشير البيطار</t>
  </si>
  <si>
    <t>على نايف على حسن الساعى</t>
  </si>
  <si>
    <t>عمر احمد سليم طه</t>
  </si>
  <si>
    <t>عمر الخلف</t>
  </si>
  <si>
    <t>غانم سلطان عبدالله بوغدير المناعى</t>
  </si>
  <si>
    <t>فهد احمد صعفق المهيدى العنزى</t>
  </si>
  <si>
    <t>فهد محمود الخليف</t>
  </si>
  <si>
    <t>مطر فيصل مطر الرومى النعيمى</t>
  </si>
  <si>
    <t>مؤيد محمد عوض محمد الزاكى</t>
  </si>
  <si>
    <t>احمد محمد سعيد محمد المالكى</t>
  </si>
  <si>
    <t>اسامه ايهم المبارك</t>
  </si>
  <si>
    <t>اوس يوسف خليل العزاوي</t>
  </si>
  <si>
    <t>تركى خميس ضحى مرزوق السعدى</t>
  </si>
  <si>
    <t>جاسم عمران سعيد محمد بامطرف</t>
  </si>
  <si>
    <t>جمعه سالم جمعه علي الراسبي</t>
  </si>
  <si>
    <t>حمد راشد سلطان السند الهاجرى</t>
  </si>
  <si>
    <t>حمد سالم سالم المقبالي</t>
  </si>
  <si>
    <t>خلف سلطان على الخويطر العجمي</t>
  </si>
  <si>
    <t>خليفه فهد على الجربوعى المرى</t>
  </si>
  <si>
    <t>سعد رمضان سعد رمضان العتيبى</t>
  </si>
  <si>
    <t>صالح محمد صالح ابالسيقان المرى</t>
  </si>
  <si>
    <t>عبدالله حافظ اسرافيل خان خان</t>
  </si>
  <si>
    <t>على عبدالله جارالله على البريدى</t>
  </si>
  <si>
    <t>على محمد حسن ناصر الودعانى</t>
  </si>
  <si>
    <t>عمر وليد كامل ابراهيم عبدالجليل</t>
  </si>
  <si>
    <t>فهد سعد منصور الهدهودي العجمي</t>
  </si>
  <si>
    <t>محمد حسن خليل نوفل</t>
  </si>
  <si>
    <t>محمد سعيد خلف منصور الكعبى</t>
  </si>
  <si>
    <t>محمد على محمد العبدالله العقيدى</t>
  </si>
  <si>
    <t>محمد وليد خالد خلوف البطل</t>
  </si>
  <si>
    <t>احمد محمد احمد حسين المقيف</t>
  </si>
  <si>
    <t>الغانم ابراهيم جلال كرم البلوشي</t>
  </si>
  <si>
    <t>باسل محمد كمال</t>
  </si>
  <si>
    <t>بندر صالح مبارك المسرورى الهاجرى</t>
  </si>
  <si>
    <t>حمد فهد عبدالله ال عامر الكعبى</t>
  </si>
  <si>
    <t>حمدان فهد عبدالله محمد النعيمي</t>
  </si>
  <si>
    <t>سعد راشد عيد ال حسن الكعبي</t>
  </si>
  <si>
    <t>سعود خميس خلفان البريكي</t>
  </si>
  <si>
    <t>سعود رائد اسعود ديبه</t>
  </si>
  <si>
    <t>سيف شاهين محمد الحيى النعيمى</t>
  </si>
  <si>
    <t>صهيب ابراهيم محمد احمد الشيخ</t>
  </si>
  <si>
    <t>عبدالرحمن محمد مطر الدليمي</t>
  </si>
  <si>
    <t>عبدالله ناصر خليف خلف الغافل</t>
  </si>
  <si>
    <t>عبدالله ناصر غازى هوشان العتيبى</t>
  </si>
  <si>
    <t>عمران احمد حسن  لبابنه</t>
  </si>
  <si>
    <t>غياث الأصيل عبدالقادر يوسف</t>
  </si>
  <si>
    <t>فهد فيصل مبروك سعد اسماعيل</t>
  </si>
  <si>
    <t>محمد جابر حسن البنغيث الكوارى</t>
  </si>
  <si>
    <t>محمد حمد جعيثن عبدالله الدوسرى</t>
  </si>
  <si>
    <t>محمد عبدالرحمن حامد احمد</t>
  </si>
  <si>
    <t>ناصر عبدالله ناصر ال سالم المناعى</t>
  </si>
  <si>
    <t>يزن عبد المعيدي</t>
  </si>
  <si>
    <t>ابراهيم سحيم خميس مبارك الحمد</t>
  </si>
  <si>
    <t>احمد محمد شلهوب لحدان الكبيسى</t>
  </si>
  <si>
    <t>بدر بندر حطاب الرمالى الشمرى</t>
  </si>
  <si>
    <t>بدر على سعيد المالكى الجهنى</t>
  </si>
  <si>
    <t>تيم الله عماد سلهب</t>
  </si>
  <si>
    <t>خليفه جاسم محمد على الطميسى</t>
  </si>
  <si>
    <t>سحيم حمد مجلى فرج العصيمى</t>
  </si>
  <si>
    <t>سعود راشد خليفة مبارك البنعلي</t>
  </si>
  <si>
    <t>سلمان بلال فضل العردشي</t>
  </si>
  <si>
    <t>شملان سعود على عبدالله الشملان</t>
  </si>
  <si>
    <t>شهاب احمد عويد الفايدي الشمري</t>
  </si>
  <si>
    <t>عبد المجيد نضال عقله الرواشده</t>
  </si>
  <si>
    <t>عبدالرحمن عبيده حبيب</t>
  </si>
  <si>
    <t>غانم حمد سالم الشبيبي</t>
  </si>
  <si>
    <t>فهد طارق سعيد محمد الشعيبى</t>
  </si>
  <si>
    <t>محمد ابراهيم محمد بن الشيخ المطاوعه</t>
  </si>
  <si>
    <t>محمد سالم شعبان سالم الجابري</t>
  </si>
  <si>
    <t>محمد عبدالله شاهين شيباني</t>
  </si>
  <si>
    <t>محمد عبدالله على المطوى المهندى</t>
  </si>
  <si>
    <t>محمد عبدالله محمد عبدالله الاسحاق</t>
  </si>
  <si>
    <t>محمد غانم جابر غانم الكبيسى</t>
  </si>
  <si>
    <t>محمد فهد محمد العجلان الكعبى</t>
  </si>
  <si>
    <t>مسعود علي صالح سالم الكاسبي</t>
  </si>
  <si>
    <t>ابراهيم ناصر سعد ناصر الخالدى</t>
  </si>
  <si>
    <t>جاسم مشعل مبارك عبدالله السويدي</t>
  </si>
  <si>
    <t>راشد عبدالله جابر عبدالله البريدى</t>
  </si>
  <si>
    <t>زيدان الويادان</t>
  </si>
  <si>
    <t>سعود عبدالناصر ماجد وليد العلى</t>
  </si>
  <si>
    <t>سعيد محمد سعيد صالح الحسن</t>
  </si>
  <si>
    <t>شداد فهد عامر الدوسري</t>
  </si>
  <si>
    <t>طه ماجد علي رمضان</t>
  </si>
  <si>
    <t>عباد سعيد مبارك سعيد العبدالله</t>
  </si>
  <si>
    <t>عبدالعزيز جمال سعيد ابوسطوه الهاجرى</t>
  </si>
  <si>
    <t>عبدالله عاهد احمد علي حماد</t>
  </si>
  <si>
    <t>عمار سليمان احمد سليمان الخريسات</t>
  </si>
  <si>
    <t>عيسى مينا جول</t>
  </si>
  <si>
    <t>غانم عبدالله جابر غانم الكبيسى</t>
  </si>
  <si>
    <t>مبارك صقر شاهين صقر المريخى</t>
  </si>
  <si>
    <t>محمد ناصر عبدالله الحيى النعيمى</t>
  </si>
  <si>
    <t>مسعود ناصر فيصل سالم المهندى</t>
  </si>
  <si>
    <t>منصور محمد سالم المري</t>
  </si>
  <si>
    <t>ناصر محمد ناصر البوعفره الكوارى</t>
  </si>
  <si>
    <t>ناصر يوسف محمد صالح الهتمى</t>
  </si>
  <si>
    <t>نديم عصمت عبدالكريم الصمادى</t>
  </si>
  <si>
    <t>احمد خالد سويد سالم جوهر</t>
  </si>
  <si>
    <t>تميم لؤى سعيد احمد حسين</t>
  </si>
  <si>
    <t>جاسم محمد عمر كامل حرز</t>
  </si>
  <si>
    <t>حمد عبدالعزيز حمد سلطان ال ثانى</t>
  </si>
  <si>
    <t>حمد محمد فهد حمده النعيمى</t>
  </si>
  <si>
    <t>خالد حمد خالد خليفه الكبيسى</t>
  </si>
  <si>
    <t>خالد عبدالله غريب العبدلى العنزى</t>
  </si>
  <si>
    <t>سعدى سلطان سعدى سلطان الشمرى</t>
  </si>
  <si>
    <t>سعود عبدالعزيز على</t>
  </si>
  <si>
    <t>سعيد على جبران ال حسن الكعبي</t>
  </si>
  <si>
    <t>سليمان محمد سليمان عبدالله الحجري</t>
  </si>
  <si>
    <t>عبدالله سمير عبدالله فاضل العتبي</t>
  </si>
  <si>
    <t>عبدالله على جواد على الماجد</t>
  </si>
  <si>
    <t>ماجد على ماجد الجفالى النعيمى</t>
  </si>
  <si>
    <t>محمد احمد محمود محمد عمرى</t>
  </si>
  <si>
    <t>محمد انس محمد محمود الوائلى</t>
  </si>
  <si>
    <t>محمد عبدالله محمد البرغش النعيمى</t>
  </si>
  <si>
    <t>محمود احمد محمود محمد عمرى</t>
  </si>
  <si>
    <t>مهنا خليفه حمد الحمد المناعى</t>
  </si>
  <si>
    <t>نواف جابر محسن ابوسنيده المرى</t>
  </si>
  <si>
    <t>احمدالطيب الوليد الجنيد الخليل هجانه</t>
  </si>
  <si>
    <t>عبدالعزيز عابدين موسى عابدين</t>
  </si>
  <si>
    <t>عبدالله ناهض عبدالقادر المصرى</t>
  </si>
  <si>
    <t>علي ايمن احمد رجب الاسمر</t>
  </si>
  <si>
    <t>محمد فهد احمد محمد المريسي</t>
  </si>
  <si>
    <t>يوسف امين مروان امين نزال</t>
  </si>
  <si>
    <t>الدرجة</t>
  </si>
  <si>
    <t>التحليل حسب المهارات</t>
  </si>
  <si>
    <t>النسب المئوية في أعمدة المهارات تُحسب آليًا من ورقة (المهارات) و(الرصد).</t>
  </si>
  <si>
    <t>ورقة مساعدة تلقائية – لا تُعدّل</t>
  </si>
  <si>
    <t>رقم السؤال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</si>
</sst>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#"/>
    <numFmt numFmtId="165" formatCode="0.0"/>
    <numFmt numFmtId="166" formatCode="0.0%"/>
  </numFmts>
  <fonts count="20">
    <font>
      <sz val="11"/>
      <color theme="1"/>
      <name val="Aptos Narrow"/>
      <family val="2"/>
      <charset val="1"/>
    </font>
    <font>
      <b/>
      <sz val="22"/>
      <color rgb="FF1F4E79"/>
      <name val="Sakkal Majalla"/>
    </font>
    <font>
      <b/>
      <sz val="16"/>
      <color rgb="FFFFFFFF"/>
      <name val="Sakkal Majalla"/>
    </font>
    <font>
      <b/>
      <sz val="12"/>
      <name val="Sakkal Majalla"/>
    </font>
    <font>
      <i/>
      <sz val="11"/>
      <color rgb="FF806000"/>
      <name val="Sakkal Majalla"/>
    </font>
    <font>
      <b/>
      <sz val="13"/>
      <color rgb="FF1F4E79"/>
      <name val="Sakkal Majalla"/>
    </font>
    <font>
      <sz val="12"/>
      <name val="Sakkal Majalla"/>
    </font>
    <font>
      <b/>
      <sz val="14"/>
      <color rgb="FF1F4E79"/>
      <name val="Sakkal Majalla"/>
    </font>
    <font>
      <b/>
      <sz val="14"/>
      <color theme="0"/>
      <name val="Sakkal Majalla"/>
    </font>
    <font>
      <b/>
      <sz val="14"/>
      <color theme="1"/>
      <name val="Sakkal Majalla"/>
    </font>
    <font>
      <b/>
      <sz val="14"/>
      <color rgb="FFFFFFFF"/>
      <name val="Sakkal Majalla"/>
    </font>
    <font>
      <b/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6"/>
      <color theme="0"/>
      <name val=" sakkal majalla"/>
      <charset val="1"/>
    </font>
    <font>
      <b/>
      <sz val="12"/>
      <color rgb="FFFFFFFF"/>
      <name val="Sakkal Majalla"/>
    </font>
    <font>
      <b/>
      <sz val="11"/>
      <name val="Sakkal Majalla"/>
    </font>
    <font>
      <sz val="11"/>
      <name val="Sakkal Majalla"/>
    </font>
    <font>
      <b/>
      <sz val="11"/>
      <color rgb="FFFFFFFF"/>
      <name val="Sakkal Majalla"/>
    </font>
    <font>
      <i/>
      <sz val="11"/>
      <color rgb="FF808080"/>
      <name val="Sakkal Majalla"/>
    </font>
    <font>
      <b/>
      <sz val="12"/>
      <color rgb="FFC00000"/>
      <name val="Sakkal Majalla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56082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theme="4"/>
        <bgColor rgb="FF1F4E79"/>
      </patternFill>
    </fill>
    <fill>
      <patternFill patternType="solid">
        <fgColor theme="4" tint="0.79989013336588644"/>
        <bgColor rgb="FFDDEBF7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7" fillId="2" borderId="0" xfId="0" applyFont="1" applyFill="1" applyAlignment="1">
      <alignment horizontal="center" vertical="center" wrapText="1"/>
    </xf>
    <xf numFmtId="0" fontId="12" fillId="6" borderId="2" xfId="0" applyFont="1" applyFill="1" applyBorder="1" applyAlignment="1">
      <alignment horizontal="center"/>
    </xf>
    <xf numFmtId="0" fontId="6" fillId="0" borderId="0" xfId="0" applyFont="1"/>
    <xf numFmtId="0" fontId="10" fillId="2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3" fillId="0" borderId="0" xfId="0" applyFont="1"/>
    <xf numFmtId="9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6" fillId="3" borderId="1" xfId="0" applyFont="1" applyFill="1" applyBorder="1"/>
    <xf numFmtId="164" fontId="6" fillId="3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1" fontId="15" fillId="0" borderId="2" xfId="0" applyNumberFormat="1" applyFont="1" applyBorder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18" fillId="0" borderId="0" xfId="0" applyFont="1"/>
    <xf numFmtId="0" fontId="17" fillId="2" borderId="2" xfId="0" applyFont="1" applyFill="1" applyBorder="1" applyAlignment="1">
      <alignment horizontal="center" vertical="center" wrapText="1"/>
    </xf>
    <xf numFmtId="164" fontId="11" fillId="0" borderId="2" xfId="0" applyNumberFormat="1" applyFont="1" applyBorder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 wrapText="1"/>
    </xf>
    <xf numFmtId="164" fontId="11" fillId="7" borderId="2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6000"/>
      <rgbColor rgb="FF800080"/>
      <rgbColor rgb="FF156082"/>
      <rgbColor rgb="FFB4C6E7"/>
      <rgbColor rgb="FF808080"/>
      <rgbColor rgb="FF9999FF"/>
      <rgbColor rgb="FFA02B93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C1E5F5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ar-QA" sz="1800" b="1" strike="noStrike" spc="-1">
                <a:solidFill>
                  <a:srgbClr val="000000"/>
                </a:solidFill>
                <a:latin typeface="Aptos Narrow"/>
              </a:rPr>
              <a:t>النسبة المئوية لكل فصل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2297520918161E-2"/>
          <c:y val="0.18038186406753112"/>
          <c:w val="0.86034290892855958"/>
          <c:h val="0.635682534157166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'لوحة النتائج'!$E$12</c:f>
              <c:strCache>
                <c:ptCount val="1"/>
                <c:pt idx="0">
                  <c:v>النسبة المئوية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النتائج'!$A$13:$A$23</c:f>
              <c:strCache>
                <c:ptCount val="11"/>
                <c:pt idx="0">
                  <c:v>10/1</c:v>
                </c:pt>
                <c:pt idx="1">
                  <c:v>10/2</c:v>
                </c:pt>
                <c:pt idx="2">
                  <c:v>10/3</c:v>
                </c:pt>
                <c:pt idx="3">
                  <c:v>10/4</c:v>
                </c:pt>
                <c:pt idx="4">
                  <c:v>10/5</c:v>
                </c:pt>
                <c:pt idx="5">
                  <c:v>10/6</c:v>
                </c:pt>
                <c:pt idx="6">
                  <c:v>10/7</c:v>
                </c:pt>
                <c:pt idx="7">
                  <c:v>10/8</c:v>
                </c:pt>
                <c:pt idx="8">
                  <c:v>10/9</c:v>
                </c:pt>
                <c:pt idx="9">
                  <c:v>10/10</c:v>
                </c:pt>
                <c:pt idx="10">
                  <c:v>10/ESE</c:v>
                </c:pt>
              </c:strCache>
            </c:strRef>
          </c:cat>
          <c:val>
            <c:numRef>
              <c:f>'لوحة النتائج'!$E$13:$E$23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D-4D99-8B89-3C58DAD02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76962"/>
        <c:axId val="39743029"/>
      </c:barChart>
      <c:catAx>
        <c:axId val="2727696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39743029"/>
        <c:crosses val="autoZero"/>
        <c:auto val="1"/>
        <c:lblAlgn val="ctr"/>
        <c:lblOffset val="100"/>
        <c:noMultiLvlLbl val="0"/>
      </c:catAx>
      <c:valAx>
        <c:axId val="39743029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72769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ar-QA" sz="1800" b="1" strike="noStrike" spc="-1">
                <a:solidFill>
                  <a:srgbClr val="000000"/>
                </a:solidFill>
                <a:latin typeface="Aptos Narrow"/>
              </a:rPr>
              <a:t>متوسط الإتقان لكل مهارة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'لوحة النتائج'!$D$27</c:f>
              <c:strCache>
                <c:ptCount val="1"/>
                <c:pt idx="0">
                  <c:v>متوسط الإتقان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'لوحة النتائج'!$A$28:$A$46</c:f>
            </c:strRef>
          </c:cat>
          <c:val>
            <c:numRef>
              <c:f>'لوحة النتائج'!$D$28:$D$46</c:f>
              <c:numCache>
                <c:formatCode>0.0%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C-4A37-BFC7-64FF16367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973787"/>
        <c:axId val="73154444"/>
      </c:barChart>
      <c:catAx>
        <c:axId val="8197378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73154444"/>
        <c:crosses val="autoZero"/>
        <c:auto val="1"/>
        <c:lblAlgn val="ctr"/>
        <c:lblOffset val="100"/>
        <c:noMultiLvlLbl val="0"/>
      </c:catAx>
      <c:valAx>
        <c:axId val="73154444"/>
        <c:scaling>
          <c:orientation val="minMax"/>
        </c:scaling>
        <c:delete val="0"/>
        <c:axPos val="b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81973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ar-QA" sz="1800" b="1" strike="noStrike" spc="-1">
                <a:solidFill>
                  <a:srgbClr val="000000"/>
                </a:solidFill>
                <a:latin typeface="Aptos Narrow"/>
              </a:rPr>
              <a:t>توزيع المستويات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'لوحة النتائج'!$B$75</c:f>
              <c:strCache>
                <c:ptCount val="1"/>
                <c:pt idx="0">
                  <c:v>عدد الطلاب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73B-4D7D-B1ED-2148257D423C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73B-4D7D-B1ED-2148257D423C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73B-4D7D-B1ED-2148257D423C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73B-4D7D-B1ED-2148257D423C}"/>
              </c:ext>
            </c:extLst>
          </c:dPt>
          <c:dPt>
            <c:idx val="4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73B-4D7D-B1ED-2148257D423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73B-4D7D-B1ED-2148257D423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73B-4D7D-B1ED-2148257D423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73B-4D7D-B1ED-2148257D423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73B-4D7D-B1ED-2148257D423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73B-4D7D-B1ED-2148257D42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'لوحة النتائج'!$A$76:$A$80</c:f>
              <c:strCache>
                <c:ptCount val="5"/>
                <c:pt idx="0">
                  <c:v>ممتاز (90% فأكثر)</c:v>
                </c:pt>
                <c:pt idx="1">
                  <c:v>جيد جدًا (80% – 89%)</c:v>
                </c:pt>
                <c:pt idx="2">
                  <c:v>جيد (70% – 79%)</c:v>
                </c:pt>
                <c:pt idx="3">
                  <c:v>مقبول (60% – 69%)</c:v>
                </c:pt>
                <c:pt idx="4">
                  <c:v>دون المستوى (أقل من 60%)</c:v>
                </c:pt>
              </c:strCache>
            </c:strRef>
          </c:cat>
          <c:val>
            <c:numRef>
              <c:f>'لوحة النتائج'!$B$76:$B$80</c:f>
              <c:numCache>
                <c:formatCode>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3B-4D7D-B1ED-2148257D4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ar-QA" sz="1800" b="1" strike="noStrike" spc="-1">
                <a:solidFill>
                  <a:srgbClr val="000000"/>
                </a:solidFill>
                <a:latin typeface="Aptos Narrow"/>
              </a:rPr>
              <a:t>نسبة النجاح لكل سؤال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'لوحة النتائج'!$E$49</c:f>
              <c:strCache>
                <c:ptCount val="1"/>
                <c:pt idx="0">
                  <c:v>نسبة النجاح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'لوحة النتائج'!$A$50:$A$72</c:f>
              <c:numCache>
                <c:formatCode>0</c:formatCode>
                <c:ptCount val="2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</c:numCache>
            </c:numRef>
          </c:cat>
          <c:val>
            <c:numRef>
              <c:f>'لوحة النتائج'!$E$50:$E$72</c:f>
              <c:numCache>
                <c:formatCode>0.0%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F-42C3-A426-4B7AD6344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813844"/>
        <c:axId val="18019655"/>
      </c:barChart>
      <c:catAx>
        <c:axId val="24813844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18019655"/>
        <c:crosses val="autoZero"/>
        <c:auto val="1"/>
        <c:lblAlgn val="ctr"/>
        <c:lblOffset val="100"/>
        <c:noMultiLvlLbl val="0"/>
      </c:catAx>
      <c:valAx>
        <c:axId val="18019655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en-US"/>
          </a:p>
        </c:txPr>
        <c:crossAx val="248138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47930</xdr:colOff>
      <xdr:row>9</xdr:row>
      <xdr:rowOff>203200</xdr:rowOff>
    </xdr:from>
    <xdr:to>
      <xdr:col>17</xdr:col>
      <xdr:colOff>162150</xdr:colOff>
      <xdr:row>22</xdr:row>
      <xdr:rowOff>161300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-758520</xdr:colOff>
      <xdr:row>26</xdr:row>
      <xdr:rowOff>0</xdr:rowOff>
    </xdr:from>
    <xdr:to>
      <xdr:col>16</xdr:col>
      <xdr:colOff>-885600</xdr:colOff>
      <xdr:row>45</xdr:row>
      <xdr:rowOff>149040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-758520</xdr:colOff>
      <xdr:row>73</xdr:row>
      <xdr:rowOff>133920</xdr:rowOff>
    </xdr:from>
    <xdr:to>
      <xdr:col>15</xdr:col>
      <xdr:colOff>-846720</xdr:colOff>
      <xdr:row>89</xdr:row>
      <xdr:rowOff>147240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-758520</xdr:colOff>
      <xdr:row>48</xdr:row>
      <xdr:rowOff>0</xdr:rowOff>
    </xdr:from>
    <xdr:to>
      <xdr:col>16</xdr:col>
      <xdr:colOff>-885600</xdr:colOff>
      <xdr:row>61</xdr:row>
      <xdr:rowOff>113400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showGridLines="0" rightToLeft="1" tabSelected="1" zoomScaleNormal="100" workbookViewId="0">
      <selection activeCell="B6" sqref="B6"/>
    </sheetView>
  </sheetViews>
  <sheetFormatPr defaultColWidth="8.54296875" defaultRowHeight="14.5"/>
  <cols>
    <col min="1" max="1" width="24" customWidth="1"/>
    <col min="2" max="2" width="12" customWidth="1"/>
    <col min="3" max="3" width="13" customWidth="1"/>
    <col min="4" max="5" width="12" customWidth="1"/>
    <col min="6" max="7" width="11" customWidth="1"/>
    <col min="8" max="9" width="12" customWidth="1"/>
    <col min="10" max="10" width="3" customWidth="1"/>
  </cols>
  <sheetData>
    <row r="1" spans="1:9" ht="33.75" customHeight="1">
      <c r="A1" s="8" t="s">
        <v>0</v>
      </c>
      <c r="B1" s="8"/>
      <c r="C1" s="8"/>
      <c r="D1" s="8"/>
      <c r="E1" s="8"/>
      <c r="F1" s="8"/>
      <c r="G1" s="8"/>
      <c r="H1" s="8"/>
      <c r="I1" s="8"/>
    </row>
    <row r="3" spans="1:9" ht="25.5" customHeight="1">
      <c r="A3" s="7" t="s">
        <v>1</v>
      </c>
      <c r="B3" s="7"/>
      <c r="C3" s="7"/>
      <c r="D3" s="7"/>
      <c r="E3" s="7"/>
      <c r="F3" s="7"/>
      <c r="G3" s="7"/>
      <c r="H3" s="7"/>
      <c r="I3" s="7"/>
    </row>
    <row r="4" spans="1:9" ht="15" customHeight="1">
      <c r="A4" s="11" t="s">
        <v>2</v>
      </c>
      <c r="B4" s="12">
        <v>0.6</v>
      </c>
      <c r="C4" s="13" t="s">
        <v>3</v>
      </c>
    </row>
    <row r="5" spans="1:9" ht="15" customHeight="1">
      <c r="A5" s="11" t="s">
        <v>4</v>
      </c>
      <c r="B5" s="14">
        <f>المهارات!$G$27</f>
        <v>0</v>
      </c>
    </row>
    <row r="6" spans="1:9" ht="15" customHeight="1">
      <c r="A6" s="11" t="s">
        <v>5</v>
      </c>
      <c r="B6" s="14">
        <f>$B$4*$B$5</f>
        <v>0</v>
      </c>
    </row>
    <row r="8" spans="1:9" ht="25.5" customHeight="1">
      <c r="A8" s="7" t="s">
        <v>6</v>
      </c>
      <c r="B8" s="7"/>
      <c r="C8" s="7"/>
      <c r="D8" s="7"/>
      <c r="E8" s="7"/>
      <c r="F8" s="7"/>
      <c r="G8" s="7"/>
      <c r="H8" s="7"/>
      <c r="I8" s="7"/>
    </row>
    <row r="9" spans="1:9" ht="30" customHeight="1">
      <c r="A9" s="15" t="s">
        <v>7</v>
      </c>
      <c r="B9" s="15" t="s">
        <v>8</v>
      </c>
      <c r="C9" s="15" t="s">
        <v>9</v>
      </c>
      <c r="D9" s="15" t="s">
        <v>10</v>
      </c>
      <c r="E9" s="15" t="s">
        <v>11</v>
      </c>
      <c r="F9" s="15" t="s">
        <v>12</v>
      </c>
      <c r="G9" s="15" t="s">
        <v>13</v>
      </c>
      <c r="H9" s="15" t="s">
        <v>14</v>
      </c>
      <c r="I9" s="15" t="s">
        <v>15</v>
      </c>
    </row>
    <row r="10" spans="1:9" ht="24" customHeight="1">
      <c r="A10" s="16">
        <f>COUNTA(التحليل!$A$3:$A$222)</f>
        <v>220</v>
      </c>
      <c r="B10" s="16">
        <f>COUNT(التحليل!$C$3:$C$222)</f>
        <v>0</v>
      </c>
      <c r="C10" s="17" t="str">
        <f>IFERROR(AVERAGE(التحليل!$C$3:$C$222),"")</f>
        <v/>
      </c>
      <c r="D10" s="18" t="str">
        <f>IFERROR($C$10/$B$5,"")</f>
        <v/>
      </c>
      <c r="E10" s="14">
        <f>IFERROR(MAX(التحليل!$C$3:$C$222),"")</f>
        <v>0</v>
      </c>
      <c r="F10" s="14">
        <f>IFERROR(MIN(التحليل!$C$3:$C$222),"")</f>
        <v>0</v>
      </c>
      <c r="G10" s="16">
        <f>COUNTIF(التحليل!$C$3:$C$222,"&gt;="&amp;$B$6)</f>
        <v>0</v>
      </c>
      <c r="H10" s="18" t="str">
        <f>IFERROR($G$10/$B$10,"")</f>
        <v/>
      </c>
      <c r="I10" s="19" t="str">
        <f>IFERROR(STDEV(التحليل!$C$3:$C$222),"")</f>
        <v/>
      </c>
    </row>
    <row r="11" spans="1:9" ht="25.5" customHeight="1">
      <c r="A11" s="7" t="s">
        <v>16</v>
      </c>
      <c r="B11" s="7"/>
      <c r="C11" s="7"/>
      <c r="D11" s="7"/>
      <c r="E11" s="7"/>
      <c r="F11" s="7"/>
      <c r="G11" s="7"/>
      <c r="H11" s="7"/>
      <c r="I11" s="7"/>
    </row>
    <row r="12" spans="1:9" ht="30" customHeight="1">
      <c r="A12" s="15" t="s">
        <v>17</v>
      </c>
      <c r="B12" s="15" t="s">
        <v>7</v>
      </c>
      <c r="C12" s="15" t="s">
        <v>8</v>
      </c>
      <c r="D12" s="15" t="s">
        <v>9</v>
      </c>
      <c r="E12" s="15" t="s">
        <v>10</v>
      </c>
      <c r="F12" s="15" t="s">
        <v>11</v>
      </c>
      <c r="G12" s="15" t="s">
        <v>12</v>
      </c>
      <c r="H12" s="15" t="s">
        <v>13</v>
      </c>
      <c r="I12" s="15" t="s">
        <v>14</v>
      </c>
    </row>
    <row r="13" spans="1:9" ht="15" customHeight="1">
      <c r="A13" s="20" t="s">
        <v>18</v>
      </c>
      <c r="B13" s="21">
        <f>COUNTIF(التحليل!$B$3:$B$222,$A13)</f>
        <v>21</v>
      </c>
      <c r="C13" s="21">
        <f>COUNTIFS(التحليل!$B$3:$B$222,$A13,التحليل!$C$3:$C$222,"&gt;=0")</f>
        <v>0</v>
      </c>
      <c r="D13" s="22" t="str">
        <f>IFERROR(AVERAGEIF(التحليل!$B$3:$B$222,$A13,التحليل!$C$3:$C$222),"")</f>
        <v/>
      </c>
      <c r="E13" s="23" t="str">
        <f t="shared" ref="E13:E23" si="0">IFERROR($D13/$B$5,"")</f>
        <v/>
      </c>
      <c r="F13" s="24" t="str">
        <f>IF($C13=0,"",_xlfn.MAXIFS(التحليل!$C$3:$C$222,التحليل!$B$3:$B$222,$A13))</f>
        <v/>
      </c>
      <c r="G13" s="24" t="str">
        <f>IF($C13=0,"",_xlfn.MINIFS(التحليل!$C$3:$C$222,التحليل!$B$3:$B$222,$A13))</f>
        <v/>
      </c>
      <c r="H13" s="21">
        <f>COUNTIFS(التحليل!$B$3:$B$222,$A13,التحليل!$C$3:$C$222,"&gt;="&amp;$B$6)</f>
        <v>0</v>
      </c>
      <c r="I13" s="23" t="str">
        <f t="shared" ref="I13:I23" si="1">IFERROR($H13/$C13,"")</f>
        <v/>
      </c>
    </row>
    <row r="14" spans="1:9" ht="15" customHeight="1">
      <c r="A14" s="20" t="s">
        <v>19</v>
      </c>
      <c r="B14" s="21">
        <f>COUNTIF(التحليل!$B$3:$B$222,$A14)</f>
        <v>20</v>
      </c>
      <c r="C14" s="21">
        <f>COUNTIFS(التحليل!$B$3:$B$222,$A14,التحليل!$C$3:$C$222,"&gt;=0")</f>
        <v>0</v>
      </c>
      <c r="D14" s="22" t="str">
        <f>IFERROR(AVERAGEIF(التحليل!$B$3:$B$222,$A14,التحليل!$C$3:$C$222),"")</f>
        <v/>
      </c>
      <c r="E14" s="23" t="str">
        <f t="shared" si="0"/>
        <v/>
      </c>
      <c r="F14" s="24" t="str">
        <f>IF($C14=0,"",_xlfn.MAXIFS(التحليل!$C$3:$C$222,التحليل!$B$3:$B$222,$A14))</f>
        <v/>
      </c>
      <c r="G14" s="24" t="str">
        <f>IF($C14=0,"",_xlfn.MINIFS(التحليل!$C$3:$C$222,التحليل!$B$3:$B$222,$A14))</f>
        <v/>
      </c>
      <c r="H14" s="21">
        <f>COUNTIFS(التحليل!$B$3:$B$222,$A14,التحليل!$C$3:$C$222,"&gt;="&amp;$B$6)</f>
        <v>0</v>
      </c>
      <c r="I14" s="23" t="str">
        <f t="shared" si="1"/>
        <v/>
      </c>
    </row>
    <row r="15" spans="1:9" ht="15" customHeight="1">
      <c r="A15" s="20" t="s">
        <v>20</v>
      </c>
      <c r="B15" s="21">
        <f>COUNTIF(التحليل!$B$3:$B$222,$A15)</f>
        <v>22</v>
      </c>
      <c r="C15" s="21">
        <f>COUNTIFS(التحليل!$B$3:$B$222,$A15,التحليل!$C$3:$C$222,"&gt;=0")</f>
        <v>0</v>
      </c>
      <c r="D15" s="22" t="str">
        <f>IFERROR(AVERAGEIF(التحليل!$B$3:$B$222,$A15,التحليل!$C$3:$C$222),"")</f>
        <v/>
      </c>
      <c r="E15" s="23" t="str">
        <f t="shared" si="0"/>
        <v/>
      </c>
      <c r="F15" s="24" t="str">
        <f>IF($C15=0,"",_xlfn.MAXIFS(التحليل!$C$3:$C$222,التحليل!$B$3:$B$222,$A15))</f>
        <v/>
      </c>
      <c r="G15" s="24" t="str">
        <f>IF($C15=0,"",_xlfn.MINIFS(التحليل!$C$3:$C$222,التحليل!$B$3:$B$222,$A15))</f>
        <v/>
      </c>
      <c r="H15" s="21">
        <f>COUNTIFS(التحليل!$B$3:$B$222,$A15,التحليل!$C$3:$C$222,"&gt;="&amp;$B$6)</f>
        <v>0</v>
      </c>
      <c r="I15" s="23" t="str">
        <f t="shared" si="1"/>
        <v/>
      </c>
    </row>
    <row r="16" spans="1:9" ht="15" customHeight="1">
      <c r="A16" s="20" t="s">
        <v>21</v>
      </c>
      <c r="B16" s="21">
        <f>COUNTIF(التحليل!$B$3:$B$222,$A16)</f>
        <v>21</v>
      </c>
      <c r="C16" s="21">
        <f>COUNTIFS(التحليل!$B$3:$B$222,$A16,التحليل!$C$3:$C$222,"&gt;=0")</f>
        <v>0</v>
      </c>
      <c r="D16" s="22" t="str">
        <f>IFERROR(AVERAGEIF(التحليل!$B$3:$B$222,$A16,التحليل!$C$3:$C$222),"")</f>
        <v/>
      </c>
      <c r="E16" s="23" t="str">
        <f t="shared" si="0"/>
        <v/>
      </c>
      <c r="F16" s="24" t="str">
        <f>IF($C16=0,"",_xlfn.MAXIFS(التحليل!$C$3:$C$222,التحليل!$B$3:$B$222,$A16))</f>
        <v/>
      </c>
      <c r="G16" s="24" t="str">
        <f>IF($C16=0,"",_xlfn.MINIFS(التحليل!$C$3:$C$222,التحليل!$B$3:$B$222,$A16))</f>
        <v/>
      </c>
      <c r="H16" s="21">
        <f>COUNTIFS(التحليل!$B$3:$B$222,$A16,التحليل!$C$3:$C$222,"&gt;="&amp;$B$6)</f>
        <v>0</v>
      </c>
      <c r="I16" s="23" t="str">
        <f t="shared" si="1"/>
        <v/>
      </c>
    </row>
    <row r="17" spans="1:9" ht="15" customHeight="1">
      <c r="A17" s="20" t="s">
        <v>22</v>
      </c>
      <c r="B17" s="21">
        <f>COUNTIF(التحليل!$B$3:$B$222,$A17)</f>
        <v>21</v>
      </c>
      <c r="C17" s="21">
        <f>COUNTIFS(التحليل!$B$3:$B$222,$A17,التحليل!$C$3:$C$222,"&gt;=0")</f>
        <v>0</v>
      </c>
      <c r="D17" s="22" t="str">
        <f>IFERROR(AVERAGEIF(التحليل!$B$3:$B$222,$A17,التحليل!$C$3:$C$222),"")</f>
        <v/>
      </c>
      <c r="E17" s="23" t="str">
        <f t="shared" si="0"/>
        <v/>
      </c>
      <c r="F17" s="24" t="str">
        <f>IF($C17=0,"",_xlfn.MAXIFS(التحليل!$C$3:$C$222,التحليل!$B$3:$B$222,$A17))</f>
        <v/>
      </c>
      <c r="G17" s="24" t="str">
        <f>IF($C17=0,"",_xlfn.MINIFS(التحليل!$C$3:$C$222,التحليل!$B$3:$B$222,$A17))</f>
        <v/>
      </c>
      <c r="H17" s="21">
        <f>COUNTIFS(التحليل!$B$3:$B$222,$A17,التحليل!$C$3:$C$222,"&gt;="&amp;$B$6)</f>
        <v>0</v>
      </c>
      <c r="I17" s="23" t="str">
        <f t="shared" si="1"/>
        <v/>
      </c>
    </row>
    <row r="18" spans="1:9" ht="15" customHeight="1">
      <c r="A18" s="20" t="s">
        <v>23</v>
      </c>
      <c r="B18" s="21">
        <f>COUNTIF(التحليل!$B$3:$B$222,$A18)</f>
        <v>22</v>
      </c>
      <c r="C18" s="21">
        <f>COUNTIFS(التحليل!$B$3:$B$222,$A18,التحليل!$C$3:$C$222,"&gt;=0")</f>
        <v>0</v>
      </c>
      <c r="D18" s="22" t="str">
        <f>IFERROR(AVERAGEIF(التحليل!$B$3:$B$222,$A18,التحليل!$C$3:$C$222),"")</f>
        <v/>
      </c>
      <c r="E18" s="23" t="str">
        <f t="shared" si="0"/>
        <v/>
      </c>
      <c r="F18" s="24" t="str">
        <f>IF($C18=0,"",_xlfn.MAXIFS(التحليل!$C$3:$C$222,التحليل!$B$3:$B$222,$A18))</f>
        <v/>
      </c>
      <c r="G18" s="24" t="str">
        <f>IF($C18=0,"",_xlfn.MINIFS(التحليل!$C$3:$C$222,التحليل!$B$3:$B$222,$A18))</f>
        <v/>
      </c>
      <c r="H18" s="21">
        <f>COUNTIFS(التحليل!$B$3:$B$222,$A18,التحليل!$C$3:$C$222,"&gt;="&amp;$B$6)</f>
        <v>0</v>
      </c>
      <c r="I18" s="23" t="str">
        <f t="shared" si="1"/>
        <v/>
      </c>
    </row>
    <row r="19" spans="1:9" ht="15" customHeight="1">
      <c r="A19" s="20" t="s">
        <v>24</v>
      </c>
      <c r="B19" s="21">
        <f>COUNTIF(التحليل!$B$3:$B$222,$A19)</f>
        <v>23</v>
      </c>
      <c r="C19" s="21">
        <f>COUNTIFS(التحليل!$B$3:$B$222,$A19,التحليل!$C$3:$C$222,"&gt;=0")</f>
        <v>0</v>
      </c>
      <c r="D19" s="22" t="str">
        <f>IFERROR(AVERAGEIF(التحليل!$B$3:$B$222,$A19,التحليل!$C$3:$C$222),"")</f>
        <v/>
      </c>
      <c r="E19" s="23" t="str">
        <f t="shared" si="0"/>
        <v/>
      </c>
      <c r="F19" s="24" t="str">
        <f>IF($C19=0,"",_xlfn.MAXIFS(التحليل!$C$3:$C$222,التحليل!$B$3:$B$222,$A19))</f>
        <v/>
      </c>
      <c r="G19" s="24" t="str">
        <f>IF($C19=0,"",_xlfn.MINIFS(التحليل!$C$3:$C$222,التحليل!$B$3:$B$222,$A19))</f>
        <v/>
      </c>
      <c r="H19" s="21">
        <f>COUNTIFS(التحليل!$B$3:$B$222,$A19,التحليل!$C$3:$C$222,"&gt;="&amp;$B$6)</f>
        <v>0</v>
      </c>
      <c r="I19" s="23" t="str">
        <f t="shared" si="1"/>
        <v/>
      </c>
    </row>
    <row r="20" spans="1:9" ht="15" customHeight="1">
      <c r="A20" s="20" t="s">
        <v>25</v>
      </c>
      <c r="B20" s="21">
        <f>COUNTIF(التحليل!$B$3:$B$222,$A20)</f>
        <v>21</v>
      </c>
      <c r="C20" s="21">
        <f>COUNTIFS(التحليل!$B$3:$B$222,$A20,التحليل!$C$3:$C$222,"&gt;=0")</f>
        <v>0</v>
      </c>
      <c r="D20" s="22" t="str">
        <f>IFERROR(AVERAGEIF(التحليل!$B$3:$B$222,$A20,التحليل!$C$3:$C$222),"")</f>
        <v/>
      </c>
      <c r="E20" s="23" t="str">
        <f t="shared" si="0"/>
        <v/>
      </c>
      <c r="F20" s="24" t="str">
        <f>IF($C20=0,"",_xlfn.MAXIFS(التحليل!$C$3:$C$222,التحليل!$B$3:$B$222,$A20))</f>
        <v/>
      </c>
      <c r="G20" s="24" t="str">
        <f>IF($C20=0,"",_xlfn.MINIFS(التحليل!$C$3:$C$222,التحليل!$B$3:$B$222,$A20))</f>
        <v/>
      </c>
      <c r="H20" s="21">
        <f>COUNTIFS(التحليل!$B$3:$B$222,$A20,التحليل!$C$3:$C$222,"&gt;="&amp;$B$6)</f>
        <v>0</v>
      </c>
      <c r="I20" s="23" t="str">
        <f t="shared" si="1"/>
        <v/>
      </c>
    </row>
    <row r="21" spans="1:9" ht="15" customHeight="1">
      <c r="A21" s="20" t="s">
        <v>26</v>
      </c>
      <c r="B21" s="21">
        <f>COUNTIF(التحليل!$B$3:$B$222,$A21)</f>
        <v>20</v>
      </c>
      <c r="C21" s="21">
        <f>COUNTIFS(التحليل!$B$3:$B$222,$A21,التحليل!$C$3:$C$222,"&gt;=0")</f>
        <v>0</v>
      </c>
      <c r="D21" s="22" t="str">
        <f>IFERROR(AVERAGEIF(التحليل!$B$3:$B$222,$A21,التحليل!$C$3:$C$222),"")</f>
        <v/>
      </c>
      <c r="E21" s="23" t="str">
        <f t="shared" si="0"/>
        <v/>
      </c>
      <c r="F21" s="24" t="str">
        <f>IF($C21=0,"",_xlfn.MAXIFS(التحليل!$C$3:$C$222,التحليل!$B$3:$B$222,$A21))</f>
        <v/>
      </c>
      <c r="G21" s="24" t="str">
        <f>IF($C21=0,"",_xlfn.MINIFS(التحليل!$C$3:$C$222,التحليل!$B$3:$B$222,$A21))</f>
        <v/>
      </c>
      <c r="H21" s="21">
        <f>COUNTIFS(التحليل!$B$3:$B$222,$A21,التحليل!$C$3:$C$222,"&gt;="&amp;$B$6)</f>
        <v>0</v>
      </c>
      <c r="I21" s="23" t="str">
        <f t="shared" si="1"/>
        <v/>
      </c>
    </row>
    <row r="22" spans="1:9" ht="15" customHeight="1">
      <c r="A22" s="20" t="s">
        <v>27</v>
      </c>
      <c r="B22" s="21">
        <f>COUNTIF(التحليل!$B$3:$B$222,$A22)</f>
        <v>23</v>
      </c>
      <c r="C22" s="21">
        <f>COUNTIFS(التحليل!$B$3:$B$222,$A22,التحليل!$C$3:$C$222,"&gt;=0")</f>
        <v>0</v>
      </c>
      <c r="D22" s="22" t="str">
        <f>IFERROR(AVERAGEIF(التحليل!$B$3:$B$222,$A22,التحليل!$C$3:$C$222),"")</f>
        <v/>
      </c>
      <c r="E22" s="23" t="str">
        <f t="shared" si="0"/>
        <v/>
      </c>
      <c r="F22" s="24" t="str">
        <f>IF($C22=0,"",_xlfn.MAXIFS(التحليل!$C$3:$C$222,التحليل!$B$3:$B$222,$A22))</f>
        <v/>
      </c>
      <c r="G22" s="24" t="str">
        <f>IF($C22=0,"",_xlfn.MINIFS(التحليل!$C$3:$C$222,التحليل!$B$3:$B$222,$A22))</f>
        <v/>
      </c>
      <c r="H22" s="21">
        <f>COUNTIFS(التحليل!$B$3:$B$222,$A22,التحليل!$C$3:$C$222,"&gt;="&amp;$B$6)</f>
        <v>0</v>
      </c>
      <c r="I22" s="23" t="str">
        <f t="shared" si="1"/>
        <v/>
      </c>
    </row>
    <row r="23" spans="1:9" ht="15" customHeight="1">
      <c r="A23" s="20" t="s">
        <v>28</v>
      </c>
      <c r="B23" s="21">
        <f>COUNTIF(التحليل!$B$3:$B$222,$A23)</f>
        <v>6</v>
      </c>
      <c r="C23" s="21">
        <f>COUNTIFS(التحليل!$B$3:$B$222,$A23,التحليل!$C$3:$C$222,"&gt;=0")</f>
        <v>0</v>
      </c>
      <c r="D23" s="22" t="str">
        <f>IFERROR(AVERAGEIF(التحليل!$B$3:$B$222,$A23,التحليل!$C$3:$C$222),"")</f>
        <v/>
      </c>
      <c r="E23" s="23" t="str">
        <f t="shared" si="0"/>
        <v/>
      </c>
      <c r="F23" s="24" t="str">
        <f>IF($C23=0,"",_xlfn.MAXIFS(التحليل!$C$3:$C$222,التحليل!$B$3:$B$222,$A23))</f>
        <v/>
      </c>
      <c r="G23" s="24" t="str">
        <f>IF($C23=0,"",_xlfn.MINIFS(التحليل!$C$3:$C$222,التحليل!$B$3:$B$222,$A23))</f>
        <v/>
      </c>
      <c r="H23" s="21">
        <f>COUNTIFS(التحليل!$B$3:$B$222,$A23,التحليل!$C$3:$C$222,"&gt;="&amp;$B$6)</f>
        <v>0</v>
      </c>
      <c r="I23" s="23" t="str">
        <f t="shared" si="1"/>
        <v/>
      </c>
    </row>
    <row r="24" spans="1:9" ht="15" customHeight="1">
      <c r="A24" s="25" t="s">
        <v>29</v>
      </c>
      <c r="B24" s="26">
        <f>SUM(B13:B23)</f>
        <v>220</v>
      </c>
      <c r="C24" s="26">
        <f>SUM(C13:C23)</f>
        <v>0</v>
      </c>
      <c r="D24" s="27" t="str">
        <f>IFERROR($C$10,"")</f>
        <v/>
      </c>
      <c r="E24" s="28" t="str">
        <f>IFERROR($D$10,"")</f>
        <v/>
      </c>
      <c r="F24" s="29">
        <f>IFERROR($E$10,"")</f>
        <v>0</v>
      </c>
      <c r="G24" s="29">
        <f>IFERROR($F$10,"")</f>
        <v>0</v>
      </c>
      <c r="H24" s="26">
        <f>SUM(H13:H23)</f>
        <v>0</v>
      </c>
      <c r="I24" s="28" t="str">
        <f>IFERROR($H$10,"")</f>
        <v/>
      </c>
    </row>
    <row r="26" spans="1:9" ht="25.5" customHeight="1">
      <c r="A26" s="7" t="s">
        <v>30</v>
      </c>
      <c r="B26" s="7"/>
      <c r="C26" s="7"/>
      <c r="D26" s="7"/>
      <c r="E26" s="7"/>
      <c r="F26" s="7"/>
      <c r="G26" s="7"/>
      <c r="H26" s="7"/>
      <c r="I26" s="7"/>
    </row>
    <row r="27" spans="1:9" ht="30" customHeight="1">
      <c r="A27" s="15" t="s">
        <v>31</v>
      </c>
      <c r="B27" s="15" t="s">
        <v>32</v>
      </c>
      <c r="C27" s="15" t="s">
        <v>33</v>
      </c>
      <c r="D27" s="15" t="s">
        <v>34</v>
      </c>
      <c r="E27" s="15" t="s">
        <v>13</v>
      </c>
      <c r="F27" s="15" t="s">
        <v>35</v>
      </c>
      <c r="G27" s="15" t="s">
        <v>36</v>
      </c>
      <c r="H27" s="15" t="s">
        <v>37</v>
      </c>
      <c r="I27" s="15" t="s">
        <v>38</v>
      </c>
    </row>
    <row r="28" spans="1:9" ht="15" customHeight="1">
      <c r="A28" s="20" t="str">
        <f>IF(المهارات!$A2="","",المهارات!$A2)</f>
        <v/>
      </c>
      <c r="B28" s="21" t="str">
        <f>IF($A28="","",COUNTIF(المهارات!$F$2:$F$24,$A28))</f>
        <v/>
      </c>
      <c r="C28" s="24" t="str">
        <f>IF($A28="","",SUMIF(المهارات!$F$2:$F$24,$A28,المهارات!$G$2:$G$24))</f>
        <v/>
      </c>
      <c r="D28" s="23" t="str">
        <f>IF($A28="","",IFERROR(AVERAGE(التحليل!D$3:D$222),""))</f>
        <v/>
      </c>
      <c r="E28" s="21" t="str">
        <f>IF($A28="","",COUNTIF(التحليل!D$3:D$222,"&gt;="&amp;$B$4))</f>
        <v/>
      </c>
      <c r="F28" s="23" t="str">
        <f t="shared" ref="F28:F46" si="2">IF(OR($A28="",$B$10=0),"",$E28/$B$10)</f>
        <v/>
      </c>
      <c r="G28" s="30" t="str">
        <f>IF($A28="","",IFERROR(MAX(التحليل!D$3:D$222),""))</f>
        <v/>
      </c>
      <c r="H28" s="30" t="str">
        <f>IF($A28="","",IFERROR(MIN(التحليل!D$3:D$222),""))</f>
        <v/>
      </c>
      <c r="I28" s="21" t="str">
        <f t="shared" ref="I28:I46" si="3">IF(OR($A28="",$D28=""),"",RANK($D28,$D$28:$D$46,1))</f>
        <v/>
      </c>
    </row>
    <row r="29" spans="1:9" ht="15" customHeight="1">
      <c r="A29" s="20" t="str">
        <f>IF(المهارات!$A3="","",المهارات!$A3)</f>
        <v/>
      </c>
      <c r="B29" s="21" t="str">
        <f>IF($A29="","",COUNTIF(المهارات!$F$2:$F$24,$A29))</f>
        <v/>
      </c>
      <c r="C29" s="24" t="str">
        <f>IF($A29="","",SUMIF(المهارات!$F$2:$F$24,$A29,المهارات!$G$2:$G$24))</f>
        <v/>
      </c>
      <c r="D29" s="23" t="str">
        <f>IF($A29="","",IFERROR(AVERAGE(التحليل!E$3:E$222),""))</f>
        <v/>
      </c>
      <c r="E29" s="21" t="str">
        <f>IF($A29="","",COUNTIF(التحليل!E$3:E$222,"&gt;="&amp;$B$4))</f>
        <v/>
      </c>
      <c r="F29" s="23" t="str">
        <f t="shared" si="2"/>
        <v/>
      </c>
      <c r="G29" s="30" t="str">
        <f>IF($A29="","",IFERROR(MAX(التحليل!E$3:E$222),""))</f>
        <v/>
      </c>
      <c r="H29" s="30" t="str">
        <f>IF($A29="","",IFERROR(MIN(التحليل!E$3:E$222),""))</f>
        <v/>
      </c>
      <c r="I29" s="21" t="str">
        <f t="shared" si="3"/>
        <v/>
      </c>
    </row>
    <row r="30" spans="1:9" ht="15" customHeight="1">
      <c r="A30" s="20" t="str">
        <f>IF(المهارات!$A4="","",المهارات!$A4)</f>
        <v/>
      </c>
      <c r="B30" s="21" t="str">
        <f>IF($A30="","",COUNTIF(المهارات!$F$2:$F$24,$A30))</f>
        <v/>
      </c>
      <c r="C30" s="24" t="str">
        <f>IF($A30="","",SUMIF(المهارات!$F$2:$F$24,$A30,المهارات!$G$2:$G$24))</f>
        <v/>
      </c>
      <c r="D30" s="23" t="str">
        <f>IF($A30="","",IFERROR(AVERAGE(التحليل!F$3:F$222),""))</f>
        <v/>
      </c>
      <c r="E30" s="21" t="str">
        <f>IF($A30="","",COUNTIF(التحليل!F$3:F$222,"&gt;="&amp;$B$4))</f>
        <v/>
      </c>
      <c r="F30" s="23" t="str">
        <f t="shared" si="2"/>
        <v/>
      </c>
      <c r="G30" s="30" t="str">
        <f>IF($A30="","",IFERROR(MAX(التحليل!F$3:F$222),""))</f>
        <v/>
      </c>
      <c r="H30" s="30" t="str">
        <f>IF($A30="","",IFERROR(MIN(التحليل!F$3:F$222),""))</f>
        <v/>
      </c>
      <c r="I30" s="21" t="str">
        <f t="shared" si="3"/>
        <v/>
      </c>
    </row>
    <row r="31" spans="1:9" ht="15" customHeight="1">
      <c r="A31" s="20" t="str">
        <f>IF(المهارات!$A5="","",المهارات!$A5)</f>
        <v/>
      </c>
      <c r="B31" s="21" t="str">
        <f>IF($A31="","",COUNTIF(المهارات!$F$2:$F$24,$A31))</f>
        <v/>
      </c>
      <c r="C31" s="24" t="str">
        <f>IF($A31="","",SUMIF(المهارات!$F$2:$F$24,$A31,المهارات!$G$2:$G$24))</f>
        <v/>
      </c>
      <c r="D31" s="23" t="str">
        <f>IF($A31="","",IFERROR(AVERAGE(التحليل!G$3:G$222),""))</f>
        <v/>
      </c>
      <c r="E31" s="21" t="str">
        <f>IF($A31="","",COUNTIF(التحليل!G$3:G$222,"&gt;="&amp;$B$4))</f>
        <v/>
      </c>
      <c r="F31" s="23" t="str">
        <f t="shared" si="2"/>
        <v/>
      </c>
      <c r="G31" s="30" t="str">
        <f>IF($A31="","",IFERROR(MAX(التحليل!G$3:G$222),""))</f>
        <v/>
      </c>
      <c r="H31" s="30" t="str">
        <f>IF($A31="","",IFERROR(MIN(التحليل!G$3:G$222),""))</f>
        <v/>
      </c>
      <c r="I31" s="21" t="str">
        <f t="shared" si="3"/>
        <v/>
      </c>
    </row>
    <row r="32" spans="1:9" ht="15" customHeight="1">
      <c r="A32" s="20" t="str">
        <f>IF(المهارات!$A6="","",المهارات!$A6)</f>
        <v/>
      </c>
      <c r="B32" s="21" t="str">
        <f>IF($A32="","",COUNTIF(المهارات!$F$2:$F$24,$A32))</f>
        <v/>
      </c>
      <c r="C32" s="24" t="str">
        <f>IF($A32="","",SUMIF(المهارات!$F$2:$F$24,$A32,المهارات!$G$2:$G$24))</f>
        <v/>
      </c>
      <c r="D32" s="23" t="str">
        <f>IF($A32="","",IFERROR(AVERAGE(التحليل!H$3:H$222),""))</f>
        <v/>
      </c>
      <c r="E32" s="21" t="str">
        <f>IF($A32="","",COUNTIF(التحليل!H$3:H$222,"&gt;="&amp;$B$4))</f>
        <v/>
      </c>
      <c r="F32" s="23" t="str">
        <f t="shared" si="2"/>
        <v/>
      </c>
      <c r="G32" s="30" t="str">
        <f>IF($A32="","",IFERROR(MAX(التحليل!H$3:H$222),""))</f>
        <v/>
      </c>
      <c r="H32" s="30" t="str">
        <f>IF($A32="","",IFERROR(MIN(التحليل!H$3:H$222),""))</f>
        <v/>
      </c>
      <c r="I32" s="21" t="str">
        <f t="shared" si="3"/>
        <v/>
      </c>
    </row>
    <row r="33" spans="1:9" ht="15" customHeight="1">
      <c r="A33" s="20" t="str">
        <f>IF(المهارات!$A7="","",المهارات!$A7)</f>
        <v/>
      </c>
      <c r="B33" s="21" t="str">
        <f>IF($A33="","",COUNTIF(المهارات!$F$2:$F$24,$A33))</f>
        <v/>
      </c>
      <c r="C33" s="24" t="str">
        <f>IF($A33="","",SUMIF(المهارات!$F$2:$F$24,$A33,المهارات!$G$2:$G$24))</f>
        <v/>
      </c>
      <c r="D33" s="23" t="str">
        <f>IF($A33="","",IFERROR(AVERAGE(التحليل!I$3:I$222),""))</f>
        <v/>
      </c>
      <c r="E33" s="21" t="str">
        <f>IF($A33="","",COUNTIF(التحليل!I$3:I$222,"&gt;="&amp;$B$4))</f>
        <v/>
      </c>
      <c r="F33" s="23" t="str">
        <f t="shared" si="2"/>
        <v/>
      </c>
      <c r="G33" s="30" t="str">
        <f>IF($A33="","",IFERROR(MAX(التحليل!I$3:I$222),""))</f>
        <v/>
      </c>
      <c r="H33" s="30" t="str">
        <f>IF($A33="","",IFERROR(MIN(التحليل!I$3:I$222),""))</f>
        <v/>
      </c>
      <c r="I33" s="21" t="str">
        <f t="shared" si="3"/>
        <v/>
      </c>
    </row>
    <row r="34" spans="1:9" ht="15" customHeight="1">
      <c r="A34" s="20" t="str">
        <f>IF(المهارات!$A8="","",المهارات!$A8)</f>
        <v/>
      </c>
      <c r="B34" s="21" t="str">
        <f>IF($A34="","",COUNTIF(المهارات!$F$2:$F$24,$A34))</f>
        <v/>
      </c>
      <c r="C34" s="24" t="str">
        <f>IF($A34="","",SUMIF(المهارات!$F$2:$F$24,$A34,المهارات!$G$2:$G$24))</f>
        <v/>
      </c>
      <c r="D34" s="23" t="str">
        <f>IF($A34="","",IFERROR(AVERAGE(التحليل!J$3:J$222),""))</f>
        <v/>
      </c>
      <c r="E34" s="21" t="str">
        <f>IF($A34="","",COUNTIF(التحليل!J$3:J$222,"&gt;="&amp;$B$4))</f>
        <v/>
      </c>
      <c r="F34" s="23" t="str">
        <f t="shared" si="2"/>
        <v/>
      </c>
      <c r="G34" s="30" t="str">
        <f>IF($A34="","",IFERROR(MAX(التحليل!J$3:J$222),""))</f>
        <v/>
      </c>
      <c r="H34" s="30" t="str">
        <f>IF($A34="","",IFERROR(MIN(التحليل!J$3:J$222),""))</f>
        <v/>
      </c>
      <c r="I34" s="21" t="str">
        <f t="shared" si="3"/>
        <v/>
      </c>
    </row>
    <row r="35" spans="1:9" ht="15" customHeight="1">
      <c r="A35" s="20" t="str">
        <f>IF(المهارات!$A9="","",المهارات!$A9)</f>
        <v/>
      </c>
      <c r="B35" s="21" t="str">
        <f>IF($A35="","",COUNTIF(المهارات!$F$2:$F$24,$A35))</f>
        <v/>
      </c>
      <c r="C35" s="24" t="str">
        <f>IF($A35="","",SUMIF(المهارات!$F$2:$F$24,$A35,المهارات!$G$2:$G$24))</f>
        <v/>
      </c>
      <c r="D35" s="23" t="str">
        <f>IF($A35="","",IFERROR(AVERAGE(التحليل!K$3:K$222),""))</f>
        <v/>
      </c>
      <c r="E35" s="21" t="str">
        <f>IF($A35="","",COUNTIF(التحليل!K$3:K$222,"&gt;="&amp;$B$4))</f>
        <v/>
      </c>
      <c r="F35" s="23" t="str">
        <f t="shared" si="2"/>
        <v/>
      </c>
      <c r="G35" s="30" t="str">
        <f>IF($A35="","",IFERROR(MAX(التحليل!K$3:K$222),""))</f>
        <v/>
      </c>
      <c r="H35" s="30" t="str">
        <f>IF($A35="","",IFERROR(MIN(التحليل!K$3:K$222),""))</f>
        <v/>
      </c>
      <c r="I35" s="21" t="str">
        <f t="shared" si="3"/>
        <v/>
      </c>
    </row>
    <row r="36" spans="1:9" ht="15" customHeight="1">
      <c r="A36" s="20" t="str">
        <f>IF(المهارات!$A10="","",المهارات!$A10)</f>
        <v/>
      </c>
      <c r="B36" s="21" t="str">
        <f>IF($A36="","",COUNTIF(المهارات!$F$2:$F$24,$A36))</f>
        <v/>
      </c>
      <c r="C36" s="24" t="str">
        <f>IF($A36="","",SUMIF(المهارات!$F$2:$F$24,$A36,المهارات!$G$2:$G$24))</f>
        <v/>
      </c>
      <c r="D36" s="23" t="str">
        <f>IF($A36="","",IFERROR(AVERAGE(التحليل!L$3:L$222),""))</f>
        <v/>
      </c>
      <c r="E36" s="21" t="str">
        <f>IF($A36="","",COUNTIF(التحليل!L$3:L$222,"&gt;="&amp;$B$4))</f>
        <v/>
      </c>
      <c r="F36" s="23" t="str">
        <f t="shared" si="2"/>
        <v/>
      </c>
      <c r="G36" s="30" t="str">
        <f>IF($A36="","",IFERROR(MAX(التحليل!L$3:L$222),""))</f>
        <v/>
      </c>
      <c r="H36" s="30" t="str">
        <f>IF($A36="","",IFERROR(MIN(التحليل!L$3:L$222),""))</f>
        <v/>
      </c>
      <c r="I36" s="21" t="str">
        <f t="shared" si="3"/>
        <v/>
      </c>
    </row>
    <row r="37" spans="1:9" ht="15" customHeight="1">
      <c r="A37" s="20" t="str">
        <f>IF(المهارات!$A11="","",المهارات!$A11)</f>
        <v/>
      </c>
      <c r="B37" s="21" t="str">
        <f>IF($A37="","",COUNTIF(المهارات!$F$2:$F$24,$A37))</f>
        <v/>
      </c>
      <c r="C37" s="24" t="str">
        <f>IF($A37="","",SUMIF(المهارات!$F$2:$F$24,$A37,المهارات!$G$2:$G$24))</f>
        <v/>
      </c>
      <c r="D37" s="23" t="str">
        <f>IF($A37="","",IFERROR(AVERAGE(التحليل!M$3:M$222),""))</f>
        <v/>
      </c>
      <c r="E37" s="21" t="str">
        <f>IF($A37="","",COUNTIF(التحليل!M$3:M$222,"&gt;="&amp;$B$4))</f>
        <v/>
      </c>
      <c r="F37" s="23" t="str">
        <f t="shared" si="2"/>
        <v/>
      </c>
      <c r="G37" s="30" t="str">
        <f>IF($A37="","",IFERROR(MAX(التحليل!M$3:M$222),""))</f>
        <v/>
      </c>
      <c r="H37" s="30" t="str">
        <f>IF($A37="","",IFERROR(MIN(التحليل!M$3:M$222),""))</f>
        <v/>
      </c>
      <c r="I37" s="21" t="str">
        <f t="shared" si="3"/>
        <v/>
      </c>
    </row>
    <row r="38" spans="1:9" ht="15" customHeight="1">
      <c r="A38" s="20" t="str">
        <f>IF(المهارات!$A12="","",المهارات!$A12)</f>
        <v/>
      </c>
      <c r="B38" s="21" t="str">
        <f>IF($A38="","",COUNTIF(المهارات!$F$2:$F$24,$A38))</f>
        <v/>
      </c>
      <c r="C38" s="24" t="str">
        <f>IF($A38="","",SUMIF(المهارات!$F$2:$F$24,$A38,المهارات!$G$2:$G$24))</f>
        <v/>
      </c>
      <c r="D38" s="23" t="str">
        <f>IF($A38="","",IFERROR(AVERAGE(التحليل!N$3:N$222),""))</f>
        <v/>
      </c>
      <c r="E38" s="21" t="str">
        <f>IF($A38="","",COUNTIF(التحليل!N$3:N$222,"&gt;="&amp;$B$4))</f>
        <v/>
      </c>
      <c r="F38" s="23" t="str">
        <f t="shared" si="2"/>
        <v/>
      </c>
      <c r="G38" s="30" t="str">
        <f>IF($A38="","",IFERROR(MAX(التحليل!N$3:N$222),""))</f>
        <v/>
      </c>
      <c r="H38" s="30" t="str">
        <f>IF($A38="","",IFERROR(MIN(التحليل!N$3:N$222),""))</f>
        <v/>
      </c>
      <c r="I38" s="21" t="str">
        <f t="shared" si="3"/>
        <v/>
      </c>
    </row>
    <row r="39" spans="1:9" ht="15" customHeight="1">
      <c r="A39" s="20" t="str">
        <f>IF(المهارات!$A13="","",المهارات!$A13)</f>
        <v/>
      </c>
      <c r="B39" s="21" t="str">
        <f>IF($A39="","",COUNTIF(المهارات!$F$2:$F$24,$A39))</f>
        <v/>
      </c>
      <c r="C39" s="24" t="str">
        <f>IF($A39="","",SUMIF(المهارات!$F$2:$F$24,$A39,المهارات!$G$2:$G$24))</f>
        <v/>
      </c>
      <c r="D39" s="23" t="str">
        <f>IF($A39="","",IFERROR(AVERAGE(التحليل!O$3:O$222),""))</f>
        <v/>
      </c>
      <c r="E39" s="21" t="str">
        <f>IF($A39="","",COUNTIF(التحليل!O$3:O$222,"&gt;="&amp;$B$4))</f>
        <v/>
      </c>
      <c r="F39" s="23" t="str">
        <f t="shared" si="2"/>
        <v/>
      </c>
      <c r="G39" s="30" t="str">
        <f>IF($A39="","",IFERROR(MAX(التحليل!O$3:O$222),""))</f>
        <v/>
      </c>
      <c r="H39" s="30" t="str">
        <f>IF($A39="","",IFERROR(MIN(التحليل!O$3:O$222),""))</f>
        <v/>
      </c>
      <c r="I39" s="21" t="str">
        <f t="shared" si="3"/>
        <v/>
      </c>
    </row>
    <row r="40" spans="1:9" ht="15" customHeight="1">
      <c r="A40" s="20" t="str">
        <f>IF(المهارات!$A14="","",المهارات!$A14)</f>
        <v/>
      </c>
      <c r="B40" s="21" t="str">
        <f>IF($A40="","",COUNTIF(المهارات!$F$2:$F$24,$A40))</f>
        <v/>
      </c>
      <c r="C40" s="24" t="str">
        <f>IF($A40="","",SUMIF(المهارات!$F$2:$F$24,$A40,المهارات!$G$2:$G$24))</f>
        <v/>
      </c>
      <c r="D40" s="23" t="str">
        <f>IF($A40="","",IFERROR(AVERAGE(التحليل!P$3:P$222),""))</f>
        <v/>
      </c>
      <c r="E40" s="21" t="str">
        <f>IF($A40="","",COUNTIF(التحليل!P$3:P$222,"&gt;="&amp;$B$4))</f>
        <v/>
      </c>
      <c r="F40" s="23" t="str">
        <f t="shared" si="2"/>
        <v/>
      </c>
      <c r="G40" s="30" t="str">
        <f>IF($A40="","",IFERROR(MAX(التحليل!P$3:P$222),""))</f>
        <v/>
      </c>
      <c r="H40" s="30" t="str">
        <f>IF($A40="","",IFERROR(MIN(التحليل!P$3:P$222),""))</f>
        <v/>
      </c>
      <c r="I40" s="21" t="str">
        <f t="shared" si="3"/>
        <v/>
      </c>
    </row>
    <row r="41" spans="1:9" ht="15" customHeight="1">
      <c r="A41" s="20" t="str">
        <f>IF(المهارات!$A15="","",المهارات!$A15)</f>
        <v/>
      </c>
      <c r="B41" s="21" t="str">
        <f>IF($A41="","",COUNTIF(المهارات!$F$2:$F$24,$A41))</f>
        <v/>
      </c>
      <c r="C41" s="24" t="str">
        <f>IF($A41="","",SUMIF(المهارات!$F$2:$F$24,$A41,المهارات!$G$2:$G$24))</f>
        <v/>
      </c>
      <c r="D41" s="23" t="str">
        <f>IF($A41="","",IFERROR(AVERAGE(التحليل!Q$3:Q$222),""))</f>
        <v/>
      </c>
      <c r="E41" s="21" t="str">
        <f>IF($A41="","",COUNTIF(التحليل!Q$3:Q$222,"&gt;="&amp;$B$4))</f>
        <v/>
      </c>
      <c r="F41" s="23" t="str">
        <f t="shared" si="2"/>
        <v/>
      </c>
      <c r="G41" s="30" t="str">
        <f>IF($A41="","",IFERROR(MAX(التحليل!Q$3:Q$222),""))</f>
        <v/>
      </c>
      <c r="H41" s="30" t="str">
        <f>IF($A41="","",IFERROR(MIN(التحليل!Q$3:Q$222),""))</f>
        <v/>
      </c>
      <c r="I41" s="21" t="str">
        <f t="shared" si="3"/>
        <v/>
      </c>
    </row>
    <row r="42" spans="1:9" ht="15" customHeight="1">
      <c r="A42" s="20" t="str">
        <f>IF(المهارات!$A16="","",المهارات!$A16)</f>
        <v/>
      </c>
      <c r="B42" s="21" t="str">
        <f>IF($A42="","",COUNTIF(المهارات!$F$2:$F$24,$A42))</f>
        <v/>
      </c>
      <c r="C42" s="24" t="str">
        <f>IF($A42="","",SUMIF(المهارات!$F$2:$F$24,$A42,المهارات!$G$2:$G$24))</f>
        <v/>
      </c>
      <c r="D42" s="23" t="str">
        <f>IF($A42="","",IFERROR(AVERAGE(التحليل!R$3:R$222),""))</f>
        <v/>
      </c>
      <c r="E42" s="21" t="str">
        <f>IF($A42="","",COUNTIF(التحليل!R$3:R$222,"&gt;="&amp;$B$4))</f>
        <v/>
      </c>
      <c r="F42" s="23" t="str">
        <f t="shared" si="2"/>
        <v/>
      </c>
      <c r="G42" s="30" t="str">
        <f>IF($A42="","",IFERROR(MAX(التحليل!R$3:R$222),""))</f>
        <v/>
      </c>
      <c r="H42" s="30" t="str">
        <f>IF($A42="","",IFERROR(MIN(التحليل!R$3:R$222),""))</f>
        <v/>
      </c>
      <c r="I42" s="21" t="str">
        <f t="shared" si="3"/>
        <v/>
      </c>
    </row>
    <row r="43" spans="1:9" ht="15" customHeight="1">
      <c r="A43" s="20" t="str">
        <f>IF(المهارات!$A17="","",المهارات!$A17)</f>
        <v/>
      </c>
      <c r="B43" s="21" t="str">
        <f>IF($A43="","",COUNTIF(المهارات!$F$2:$F$24,$A43))</f>
        <v/>
      </c>
      <c r="C43" s="24" t="str">
        <f>IF($A43="","",SUMIF(المهارات!$F$2:$F$24,$A43,المهارات!$G$2:$G$24))</f>
        <v/>
      </c>
      <c r="D43" s="23" t="str">
        <f>IF($A43="","",IFERROR(AVERAGE(التحليل!S$3:S$222),""))</f>
        <v/>
      </c>
      <c r="E43" s="21" t="str">
        <f>IF($A43="","",COUNTIF(التحليل!S$3:S$222,"&gt;="&amp;$B$4))</f>
        <v/>
      </c>
      <c r="F43" s="23" t="str">
        <f t="shared" si="2"/>
        <v/>
      </c>
      <c r="G43" s="30" t="str">
        <f>IF($A43="","",IFERROR(MAX(التحليل!S$3:S$222),""))</f>
        <v/>
      </c>
      <c r="H43" s="30" t="str">
        <f>IF($A43="","",IFERROR(MIN(التحليل!S$3:S$222),""))</f>
        <v/>
      </c>
      <c r="I43" s="21" t="str">
        <f t="shared" si="3"/>
        <v/>
      </c>
    </row>
    <row r="44" spans="1:9" ht="15" customHeight="1">
      <c r="A44" s="20" t="str">
        <f>IF(المهارات!$A18="","",المهارات!$A18)</f>
        <v/>
      </c>
      <c r="B44" s="21" t="str">
        <f>IF($A44="","",COUNTIF(المهارات!$F$2:$F$24,$A44))</f>
        <v/>
      </c>
      <c r="C44" s="24" t="str">
        <f>IF($A44="","",SUMIF(المهارات!$F$2:$F$24,$A44,المهارات!$G$2:$G$24))</f>
        <v/>
      </c>
      <c r="D44" s="23" t="str">
        <f>IF($A44="","",IFERROR(AVERAGE(التحليل!T$3:T$222),""))</f>
        <v/>
      </c>
      <c r="E44" s="21" t="str">
        <f>IF($A44="","",COUNTIF(التحليل!T$3:T$222,"&gt;="&amp;$B$4))</f>
        <v/>
      </c>
      <c r="F44" s="23" t="str">
        <f t="shared" si="2"/>
        <v/>
      </c>
      <c r="G44" s="30" t="str">
        <f>IF($A44="","",IFERROR(MAX(التحليل!T$3:T$222),""))</f>
        <v/>
      </c>
      <c r="H44" s="30" t="str">
        <f>IF($A44="","",IFERROR(MIN(التحليل!T$3:T$222),""))</f>
        <v/>
      </c>
      <c r="I44" s="21" t="str">
        <f t="shared" si="3"/>
        <v/>
      </c>
    </row>
    <row r="45" spans="1:9" ht="15" customHeight="1">
      <c r="A45" s="20" t="str">
        <f>IF(المهارات!$A19="","",المهارات!$A19)</f>
        <v/>
      </c>
      <c r="B45" s="21" t="str">
        <f>IF($A45="","",COUNTIF(المهارات!$F$2:$F$24,$A45))</f>
        <v/>
      </c>
      <c r="C45" s="24" t="str">
        <f>IF($A45="","",SUMIF(المهارات!$F$2:$F$24,$A45,المهارات!$G$2:$G$24))</f>
        <v/>
      </c>
      <c r="D45" s="23" t="str">
        <f>IF($A45="","",IFERROR(AVERAGE(التحليل!U$3:U$222),""))</f>
        <v/>
      </c>
      <c r="E45" s="21" t="str">
        <f>IF($A45="","",COUNTIF(التحليل!U$3:U$222,"&gt;="&amp;$B$4))</f>
        <v/>
      </c>
      <c r="F45" s="23" t="str">
        <f t="shared" si="2"/>
        <v/>
      </c>
      <c r="G45" s="30" t="str">
        <f>IF($A45="","",IFERROR(MAX(التحليل!U$3:U$222),""))</f>
        <v/>
      </c>
      <c r="H45" s="30" t="str">
        <f>IF($A45="","",IFERROR(MIN(التحليل!U$3:U$222),""))</f>
        <v/>
      </c>
      <c r="I45" s="21" t="str">
        <f t="shared" si="3"/>
        <v/>
      </c>
    </row>
    <row r="46" spans="1:9" ht="15" customHeight="1">
      <c r="A46" s="20" t="str">
        <f>IF(المهارات!$A20="","",المهارات!$A20)</f>
        <v/>
      </c>
      <c r="B46" s="21" t="str">
        <f>IF($A46="","",COUNTIF(المهارات!$F$2:$F$24,$A46))</f>
        <v/>
      </c>
      <c r="C46" s="24" t="str">
        <f>IF($A46="","",SUMIF(المهارات!$F$2:$F$24,$A46,المهارات!$G$2:$G$24))</f>
        <v/>
      </c>
      <c r="D46" s="23" t="str">
        <f>IF($A46="","",IFERROR(AVERAGE(التحليل!V$3:V$222),""))</f>
        <v/>
      </c>
      <c r="E46" s="21" t="str">
        <f>IF($A46="","",COUNTIF(التحليل!V$3:V$222,"&gt;="&amp;$B$4))</f>
        <v/>
      </c>
      <c r="F46" s="23" t="str">
        <f t="shared" si="2"/>
        <v/>
      </c>
      <c r="G46" s="30" t="str">
        <f>IF($A46="","",IFERROR(MAX(التحليل!V$3:V$222),""))</f>
        <v/>
      </c>
      <c r="H46" s="30" t="str">
        <f>IF($A46="","",IFERROR(MIN(التحليل!V$3:V$222),""))</f>
        <v/>
      </c>
      <c r="I46" s="21" t="str">
        <f t="shared" si="3"/>
        <v/>
      </c>
    </row>
    <row r="48" spans="1:9" ht="25.5" customHeight="1">
      <c r="A48" s="7" t="s">
        <v>39</v>
      </c>
      <c r="B48" s="7"/>
      <c r="C48" s="7"/>
      <c r="D48" s="7"/>
      <c r="E48" s="7"/>
      <c r="F48" s="7"/>
      <c r="G48" s="7"/>
      <c r="H48" s="7"/>
      <c r="I48" s="7"/>
    </row>
    <row r="49" spans="1:9" ht="30" customHeight="1">
      <c r="A49" s="15" t="s">
        <v>40</v>
      </c>
      <c r="B49" s="15" t="s">
        <v>31</v>
      </c>
      <c r="C49" s="15" t="s">
        <v>33</v>
      </c>
      <c r="D49" s="15" t="s">
        <v>9</v>
      </c>
      <c r="E49" s="15" t="s">
        <v>41</v>
      </c>
      <c r="F49" s="15" t="s">
        <v>13</v>
      </c>
      <c r="G49" s="15" t="s">
        <v>35</v>
      </c>
      <c r="H49" s="15" t="s">
        <v>42</v>
      </c>
      <c r="I49" s="15" t="s">
        <v>43</v>
      </c>
    </row>
    <row r="50" spans="1:9" ht="15" customHeight="1">
      <c r="A50" s="16">
        <f>IF(المهارات!$E2="","",المهارات!$E2)</f>
        <v>1</v>
      </c>
      <c r="B50" s="31" t="str">
        <f>IF(المهارات!$F2="","",المهارات!$F2)</f>
        <v/>
      </c>
      <c r="C50" s="24" t="str">
        <f>IF(المهارات!$G2="","",المهارات!$G2)</f>
        <v/>
      </c>
      <c r="D50" s="32" t="str">
        <f>IFERROR(AVERAGE(الرصد!C$3:C$222),"")</f>
        <v/>
      </c>
      <c r="E50" s="23" t="str">
        <f t="shared" ref="E50:E72" si="4">IFERROR($D50/$C50,"")</f>
        <v/>
      </c>
      <c r="F50" s="21" t="str">
        <f>IF($C50="","",COUNTIF(الرصد!C$3:C$222,"&gt;="&amp;$B$4*$C50))</f>
        <v/>
      </c>
      <c r="G50" s="23" t="str">
        <f t="shared" ref="G50:G72" si="5">IF(OR($C50="",$B$10=0),"",$F50/$B$10)</f>
        <v/>
      </c>
      <c r="H50" s="21">
        <f>COUNTIF(الرصد!C$3:C$222,0)</f>
        <v>0</v>
      </c>
      <c r="I50" s="31" t="str">
        <f t="shared" ref="I50:I72" si="6">IF($E50="","",IF($E50&lt;$B$4,"سؤال يحتاج معالجة",IF($E50&gt;=0.9,"متقن","مقبول")))</f>
        <v/>
      </c>
    </row>
    <row r="51" spans="1:9" ht="15" customHeight="1">
      <c r="A51" s="16">
        <f>IF(المهارات!$E3="","",المهارات!$E3)</f>
        <v>2</v>
      </c>
      <c r="B51" s="31" t="str">
        <f>IF(المهارات!$F3="","",المهارات!$F3)</f>
        <v/>
      </c>
      <c r="C51" s="24" t="str">
        <f>IF(المهارات!$G3="","",المهارات!$G3)</f>
        <v/>
      </c>
      <c r="D51" s="32" t="str">
        <f>IFERROR(AVERAGE(الرصد!D$3:D$222),"")</f>
        <v/>
      </c>
      <c r="E51" s="23" t="str">
        <f t="shared" si="4"/>
        <v/>
      </c>
      <c r="F51" s="21" t="str">
        <f>IF($C51="","",COUNTIF(الرصد!D$3:D$222,"&gt;="&amp;$B$4*$C51))</f>
        <v/>
      </c>
      <c r="G51" s="23" t="str">
        <f t="shared" si="5"/>
        <v/>
      </c>
      <c r="H51" s="21">
        <f>COUNTIF(الرصد!D$3:D$222,0)</f>
        <v>0</v>
      </c>
      <c r="I51" s="31" t="str">
        <f t="shared" si="6"/>
        <v/>
      </c>
    </row>
    <row r="52" spans="1:9" ht="15" customHeight="1">
      <c r="A52" s="16">
        <f>IF(المهارات!$E4="","",المهارات!$E4)</f>
        <v>3</v>
      </c>
      <c r="B52" s="31" t="str">
        <f>IF(المهارات!$F4="","",المهارات!$F4)</f>
        <v/>
      </c>
      <c r="C52" s="24" t="str">
        <f>IF(المهارات!$G4="","",المهارات!$G4)</f>
        <v/>
      </c>
      <c r="D52" s="32" t="str">
        <f>IFERROR(AVERAGE(الرصد!E$3:E$222),"")</f>
        <v/>
      </c>
      <c r="E52" s="23" t="str">
        <f t="shared" si="4"/>
        <v/>
      </c>
      <c r="F52" s="21" t="str">
        <f>IF($C52="","",COUNTIF(الرصد!E$3:E$222,"&gt;="&amp;$B$4*$C52))</f>
        <v/>
      </c>
      <c r="G52" s="23" t="str">
        <f t="shared" si="5"/>
        <v/>
      </c>
      <c r="H52" s="21">
        <f>COUNTIF(الرصد!E$3:E$222,0)</f>
        <v>0</v>
      </c>
      <c r="I52" s="31" t="str">
        <f t="shared" si="6"/>
        <v/>
      </c>
    </row>
    <row r="53" spans="1:9" ht="15" customHeight="1">
      <c r="A53" s="16">
        <f>IF(المهارات!$E5="","",المهارات!$E5)</f>
        <v>4</v>
      </c>
      <c r="B53" s="31" t="str">
        <f>IF(المهارات!$F5="","",المهارات!$F5)</f>
        <v/>
      </c>
      <c r="C53" s="24" t="str">
        <f>IF(المهارات!$G5="","",المهارات!$G5)</f>
        <v/>
      </c>
      <c r="D53" s="32" t="str">
        <f>IFERROR(AVERAGE(الرصد!F$3:F$222),"")</f>
        <v/>
      </c>
      <c r="E53" s="23" t="str">
        <f t="shared" si="4"/>
        <v/>
      </c>
      <c r="F53" s="21" t="str">
        <f>IF($C53="","",COUNTIF(الرصد!F$3:F$222,"&gt;="&amp;$B$4*$C53))</f>
        <v/>
      </c>
      <c r="G53" s="23" t="str">
        <f t="shared" si="5"/>
        <v/>
      </c>
      <c r="H53" s="21">
        <f>COUNTIF(الرصد!F$3:F$222,0)</f>
        <v>0</v>
      </c>
      <c r="I53" s="31" t="str">
        <f t="shared" si="6"/>
        <v/>
      </c>
    </row>
    <row r="54" spans="1:9" ht="15" customHeight="1">
      <c r="A54" s="16">
        <f>IF(المهارات!$E6="","",المهارات!$E6)</f>
        <v>5</v>
      </c>
      <c r="B54" s="31" t="str">
        <f>IF(المهارات!$F6="","",المهارات!$F6)</f>
        <v/>
      </c>
      <c r="C54" s="24" t="str">
        <f>IF(المهارات!$G6="","",المهارات!$G6)</f>
        <v/>
      </c>
      <c r="D54" s="32" t="str">
        <f>IFERROR(AVERAGE(الرصد!G$3:G$222),"")</f>
        <v/>
      </c>
      <c r="E54" s="23" t="str">
        <f t="shared" si="4"/>
        <v/>
      </c>
      <c r="F54" s="21" t="str">
        <f>IF($C54="","",COUNTIF(الرصد!G$3:G$222,"&gt;="&amp;$B$4*$C54))</f>
        <v/>
      </c>
      <c r="G54" s="23" t="str">
        <f t="shared" si="5"/>
        <v/>
      </c>
      <c r="H54" s="21">
        <f>COUNTIF(الرصد!G$3:G$222,0)</f>
        <v>0</v>
      </c>
      <c r="I54" s="31" t="str">
        <f t="shared" si="6"/>
        <v/>
      </c>
    </row>
    <row r="55" spans="1:9" ht="15" customHeight="1">
      <c r="A55" s="16">
        <f>IF(المهارات!$E7="","",المهارات!$E7)</f>
        <v>6</v>
      </c>
      <c r="B55" s="31" t="str">
        <f>IF(المهارات!$F7="","",المهارات!$F7)</f>
        <v/>
      </c>
      <c r="C55" s="24" t="str">
        <f>IF(المهارات!$G7="","",المهارات!$G7)</f>
        <v/>
      </c>
      <c r="D55" s="32" t="str">
        <f>IFERROR(AVERAGE(الرصد!H$3:H$222),"")</f>
        <v/>
      </c>
      <c r="E55" s="23" t="str">
        <f t="shared" si="4"/>
        <v/>
      </c>
      <c r="F55" s="21" t="str">
        <f>IF($C55="","",COUNTIF(الرصد!H$3:H$222,"&gt;="&amp;$B$4*$C55))</f>
        <v/>
      </c>
      <c r="G55" s="23" t="str">
        <f t="shared" si="5"/>
        <v/>
      </c>
      <c r="H55" s="21">
        <f>COUNTIF(الرصد!H$3:H$222,0)</f>
        <v>0</v>
      </c>
      <c r="I55" s="31" t="str">
        <f t="shared" si="6"/>
        <v/>
      </c>
    </row>
    <row r="56" spans="1:9" ht="15" customHeight="1">
      <c r="A56" s="16">
        <f>IF(المهارات!$E8="","",المهارات!$E8)</f>
        <v>7</v>
      </c>
      <c r="B56" s="31" t="str">
        <f>IF(المهارات!$F8="","",المهارات!$F8)</f>
        <v/>
      </c>
      <c r="C56" s="24" t="str">
        <f>IF(المهارات!$G8="","",المهارات!$G8)</f>
        <v/>
      </c>
      <c r="D56" s="32" t="str">
        <f>IFERROR(AVERAGE(الرصد!I$3:I$222),"")</f>
        <v/>
      </c>
      <c r="E56" s="23" t="str">
        <f t="shared" si="4"/>
        <v/>
      </c>
      <c r="F56" s="21" t="str">
        <f>IF($C56="","",COUNTIF(الرصد!I$3:I$222,"&gt;="&amp;$B$4*$C56))</f>
        <v/>
      </c>
      <c r="G56" s="23" t="str">
        <f t="shared" si="5"/>
        <v/>
      </c>
      <c r="H56" s="21">
        <f>COUNTIF(الرصد!I$3:I$222,0)</f>
        <v>0</v>
      </c>
      <c r="I56" s="31" t="str">
        <f t="shared" si="6"/>
        <v/>
      </c>
    </row>
    <row r="57" spans="1:9" ht="15" customHeight="1">
      <c r="A57" s="16">
        <f>IF(المهارات!$E9="","",المهارات!$E9)</f>
        <v>8</v>
      </c>
      <c r="B57" s="31" t="str">
        <f>IF(المهارات!$F9="","",المهارات!$F9)</f>
        <v/>
      </c>
      <c r="C57" s="24" t="str">
        <f>IF(المهارات!$G9="","",المهارات!$G9)</f>
        <v/>
      </c>
      <c r="D57" s="32" t="str">
        <f>IFERROR(AVERAGE(الرصد!J$3:J$222),"")</f>
        <v/>
      </c>
      <c r="E57" s="23" t="str">
        <f t="shared" si="4"/>
        <v/>
      </c>
      <c r="F57" s="21" t="str">
        <f>IF($C57="","",COUNTIF(الرصد!J$3:J$222,"&gt;="&amp;$B$4*$C57))</f>
        <v/>
      </c>
      <c r="G57" s="23" t="str">
        <f t="shared" si="5"/>
        <v/>
      </c>
      <c r="H57" s="21">
        <f>COUNTIF(الرصد!J$3:J$222,0)</f>
        <v>0</v>
      </c>
      <c r="I57" s="31" t="str">
        <f t="shared" si="6"/>
        <v/>
      </c>
    </row>
    <row r="58" spans="1:9" ht="15" customHeight="1">
      <c r="A58" s="16">
        <f>IF(المهارات!$E10="","",المهارات!$E10)</f>
        <v>9</v>
      </c>
      <c r="B58" s="31" t="str">
        <f>IF(المهارات!$F10="","",المهارات!$F10)</f>
        <v/>
      </c>
      <c r="C58" s="24" t="str">
        <f>IF(المهارات!$G10="","",المهارات!$G10)</f>
        <v/>
      </c>
      <c r="D58" s="32" t="str">
        <f>IFERROR(AVERAGE(الرصد!K$3:K$222),"")</f>
        <v/>
      </c>
      <c r="E58" s="23" t="str">
        <f t="shared" si="4"/>
        <v/>
      </c>
      <c r="F58" s="21" t="str">
        <f>IF($C58="","",COUNTIF(الرصد!K$3:K$222,"&gt;="&amp;$B$4*$C58))</f>
        <v/>
      </c>
      <c r="G58" s="23" t="str">
        <f t="shared" si="5"/>
        <v/>
      </c>
      <c r="H58" s="21">
        <f>COUNTIF(الرصد!K$3:K$222,0)</f>
        <v>0</v>
      </c>
      <c r="I58" s="31" t="str">
        <f t="shared" si="6"/>
        <v/>
      </c>
    </row>
    <row r="59" spans="1:9" ht="15" customHeight="1">
      <c r="A59" s="16">
        <f>IF(المهارات!$E11="","",المهارات!$E11)</f>
        <v>10</v>
      </c>
      <c r="B59" s="31" t="str">
        <f>IF(المهارات!$F11="","",المهارات!$F11)</f>
        <v/>
      </c>
      <c r="C59" s="24" t="str">
        <f>IF(المهارات!$G11="","",المهارات!$G11)</f>
        <v/>
      </c>
      <c r="D59" s="32" t="str">
        <f>IFERROR(AVERAGE(الرصد!L$3:L$222),"")</f>
        <v/>
      </c>
      <c r="E59" s="23" t="str">
        <f t="shared" si="4"/>
        <v/>
      </c>
      <c r="F59" s="21" t="str">
        <f>IF($C59="","",COUNTIF(الرصد!L$3:L$222,"&gt;="&amp;$B$4*$C59))</f>
        <v/>
      </c>
      <c r="G59" s="23" t="str">
        <f t="shared" si="5"/>
        <v/>
      </c>
      <c r="H59" s="21">
        <f>COUNTIF(الرصد!L$3:L$222,0)</f>
        <v>0</v>
      </c>
      <c r="I59" s="31" t="str">
        <f t="shared" si="6"/>
        <v/>
      </c>
    </row>
    <row r="60" spans="1:9" ht="15" customHeight="1">
      <c r="A60" s="16">
        <f>IF(المهارات!$E12="","",المهارات!$E12)</f>
        <v>11</v>
      </c>
      <c r="B60" s="31" t="str">
        <f>IF(المهارات!$F12="","",المهارات!$F12)</f>
        <v/>
      </c>
      <c r="C60" s="24" t="str">
        <f>IF(المهارات!$G12="","",المهارات!$G12)</f>
        <v/>
      </c>
      <c r="D60" s="32" t="str">
        <f>IFERROR(AVERAGE(الرصد!M$3:M$222),"")</f>
        <v/>
      </c>
      <c r="E60" s="23" t="str">
        <f t="shared" si="4"/>
        <v/>
      </c>
      <c r="F60" s="21" t="str">
        <f>IF($C60="","",COUNTIF(الرصد!M$3:M$222,"&gt;="&amp;$B$4*$C60))</f>
        <v/>
      </c>
      <c r="G60" s="23" t="str">
        <f t="shared" si="5"/>
        <v/>
      </c>
      <c r="H60" s="21">
        <f>COUNTIF(الرصد!M$3:M$222,0)</f>
        <v>0</v>
      </c>
      <c r="I60" s="31" t="str">
        <f t="shared" si="6"/>
        <v/>
      </c>
    </row>
    <row r="61" spans="1:9" ht="15" customHeight="1">
      <c r="A61" s="16">
        <f>IF(المهارات!$E13="","",المهارات!$E13)</f>
        <v>12</v>
      </c>
      <c r="B61" s="31" t="str">
        <f>IF(المهارات!$F13="","",المهارات!$F13)</f>
        <v/>
      </c>
      <c r="C61" s="24" t="str">
        <f>IF(المهارات!$G13="","",المهارات!$G13)</f>
        <v/>
      </c>
      <c r="D61" s="32" t="str">
        <f>IFERROR(AVERAGE(الرصد!N$3:N$222),"")</f>
        <v/>
      </c>
      <c r="E61" s="23" t="str">
        <f t="shared" si="4"/>
        <v/>
      </c>
      <c r="F61" s="21" t="str">
        <f>IF($C61="","",COUNTIF(الرصد!N$3:N$222,"&gt;="&amp;$B$4*$C61))</f>
        <v/>
      </c>
      <c r="G61" s="23" t="str">
        <f t="shared" si="5"/>
        <v/>
      </c>
      <c r="H61" s="21">
        <f>COUNTIF(الرصد!N$3:N$222,0)</f>
        <v>0</v>
      </c>
      <c r="I61" s="31" t="str">
        <f t="shared" si="6"/>
        <v/>
      </c>
    </row>
    <row r="62" spans="1:9" ht="15" customHeight="1">
      <c r="A62" s="16">
        <f>IF(المهارات!$E14="","",المهارات!$E14)</f>
        <v>13</v>
      </c>
      <c r="B62" s="31" t="str">
        <f>IF(المهارات!$F14="","",المهارات!$F14)</f>
        <v/>
      </c>
      <c r="C62" s="24" t="str">
        <f>IF(المهارات!$G14="","",المهارات!$G14)</f>
        <v/>
      </c>
      <c r="D62" s="32" t="str">
        <f>IFERROR(AVERAGE(الرصد!O$3:O$222),"")</f>
        <v/>
      </c>
      <c r="E62" s="23" t="str">
        <f t="shared" si="4"/>
        <v/>
      </c>
      <c r="F62" s="21" t="str">
        <f>IF($C62="","",COUNTIF(الرصد!O$3:O$222,"&gt;="&amp;$B$4*$C62))</f>
        <v/>
      </c>
      <c r="G62" s="23" t="str">
        <f t="shared" si="5"/>
        <v/>
      </c>
      <c r="H62" s="21">
        <f>COUNTIF(الرصد!O$3:O$222,0)</f>
        <v>0</v>
      </c>
      <c r="I62" s="31" t="str">
        <f t="shared" si="6"/>
        <v/>
      </c>
    </row>
    <row r="63" spans="1:9" ht="15" customHeight="1">
      <c r="A63" s="16">
        <f>IF(المهارات!$E15="","",المهارات!$E15)</f>
        <v>14</v>
      </c>
      <c r="B63" s="31" t="str">
        <f>IF(المهارات!$F15="","",المهارات!$F15)</f>
        <v/>
      </c>
      <c r="C63" s="24" t="str">
        <f>IF(المهارات!$G15="","",المهارات!$G15)</f>
        <v/>
      </c>
      <c r="D63" s="32" t="str">
        <f>IFERROR(AVERAGE(الرصد!P$3:P$222),"")</f>
        <v/>
      </c>
      <c r="E63" s="23" t="str">
        <f t="shared" si="4"/>
        <v/>
      </c>
      <c r="F63" s="21" t="str">
        <f>IF($C63="","",COUNTIF(الرصد!P$3:P$222,"&gt;="&amp;$B$4*$C63))</f>
        <v/>
      </c>
      <c r="G63" s="23" t="str">
        <f t="shared" si="5"/>
        <v/>
      </c>
      <c r="H63" s="21">
        <f>COUNTIF(الرصد!P$3:P$222,0)</f>
        <v>0</v>
      </c>
      <c r="I63" s="31" t="str">
        <f t="shared" si="6"/>
        <v/>
      </c>
    </row>
    <row r="64" spans="1:9" ht="15" customHeight="1">
      <c r="A64" s="16">
        <f>IF(المهارات!$E16="","",المهارات!$E16)</f>
        <v>15</v>
      </c>
      <c r="B64" s="31" t="str">
        <f>IF(المهارات!$F16="","",المهارات!$F16)</f>
        <v/>
      </c>
      <c r="C64" s="24" t="str">
        <f>IF(المهارات!$G16="","",المهارات!$G16)</f>
        <v/>
      </c>
      <c r="D64" s="32" t="str">
        <f>IFERROR(AVERAGE(الرصد!Q$3:Q$222),"")</f>
        <v/>
      </c>
      <c r="E64" s="23" t="str">
        <f t="shared" si="4"/>
        <v/>
      </c>
      <c r="F64" s="21" t="str">
        <f>IF($C64="","",COUNTIF(الرصد!Q$3:Q$222,"&gt;="&amp;$B$4*$C64))</f>
        <v/>
      </c>
      <c r="G64" s="23" t="str">
        <f t="shared" si="5"/>
        <v/>
      </c>
      <c r="H64" s="21">
        <f>COUNTIF(الرصد!Q$3:Q$222,0)</f>
        <v>0</v>
      </c>
      <c r="I64" s="31" t="str">
        <f t="shared" si="6"/>
        <v/>
      </c>
    </row>
    <row r="65" spans="1:9" ht="15" customHeight="1">
      <c r="A65" s="16">
        <f>IF(المهارات!$E17="","",المهارات!$E17)</f>
        <v>16</v>
      </c>
      <c r="B65" s="31" t="str">
        <f>IF(المهارات!$F17="","",المهارات!$F17)</f>
        <v/>
      </c>
      <c r="C65" s="24" t="str">
        <f>IF(المهارات!$G17="","",المهارات!$G17)</f>
        <v/>
      </c>
      <c r="D65" s="32" t="str">
        <f>IFERROR(AVERAGE(الرصد!R$3:R$222),"")</f>
        <v/>
      </c>
      <c r="E65" s="23" t="str">
        <f t="shared" si="4"/>
        <v/>
      </c>
      <c r="F65" s="21" t="str">
        <f>IF($C65="","",COUNTIF(الرصد!R$3:R$222,"&gt;="&amp;$B$4*$C65))</f>
        <v/>
      </c>
      <c r="G65" s="23" t="str">
        <f t="shared" si="5"/>
        <v/>
      </c>
      <c r="H65" s="21">
        <f>COUNTIF(الرصد!R$3:R$222,0)</f>
        <v>0</v>
      </c>
      <c r="I65" s="31" t="str">
        <f t="shared" si="6"/>
        <v/>
      </c>
    </row>
    <row r="66" spans="1:9" ht="15" customHeight="1">
      <c r="A66" s="16">
        <f>IF(المهارات!$E18="","",المهارات!$E18)</f>
        <v>17</v>
      </c>
      <c r="B66" s="31" t="str">
        <f>IF(المهارات!$F18="","",المهارات!$F18)</f>
        <v/>
      </c>
      <c r="C66" s="24" t="str">
        <f>IF(المهارات!$G18="","",المهارات!$G18)</f>
        <v/>
      </c>
      <c r="D66" s="32" t="str">
        <f>IFERROR(AVERAGE(الرصد!S$3:S$222),"")</f>
        <v/>
      </c>
      <c r="E66" s="23" t="str">
        <f t="shared" si="4"/>
        <v/>
      </c>
      <c r="F66" s="21" t="str">
        <f>IF($C66="","",COUNTIF(الرصد!S$3:S$222,"&gt;="&amp;$B$4*$C66))</f>
        <v/>
      </c>
      <c r="G66" s="23" t="str">
        <f t="shared" si="5"/>
        <v/>
      </c>
      <c r="H66" s="21">
        <f>COUNTIF(الرصد!S$3:S$222,0)</f>
        <v>0</v>
      </c>
      <c r="I66" s="31" t="str">
        <f t="shared" si="6"/>
        <v/>
      </c>
    </row>
    <row r="67" spans="1:9" ht="15" customHeight="1">
      <c r="A67" s="16">
        <f>IF(المهارات!$E19="","",المهارات!$E19)</f>
        <v>18</v>
      </c>
      <c r="B67" s="31" t="str">
        <f>IF(المهارات!$F19="","",المهارات!$F19)</f>
        <v/>
      </c>
      <c r="C67" s="24" t="str">
        <f>IF(المهارات!$G19="","",المهارات!$G19)</f>
        <v/>
      </c>
      <c r="D67" s="32" t="str">
        <f>IFERROR(AVERAGE(الرصد!T$3:T$222),"")</f>
        <v/>
      </c>
      <c r="E67" s="23" t="str">
        <f t="shared" si="4"/>
        <v/>
      </c>
      <c r="F67" s="21" t="str">
        <f>IF($C67="","",COUNTIF(الرصد!T$3:T$222,"&gt;="&amp;$B$4*$C67))</f>
        <v/>
      </c>
      <c r="G67" s="23" t="str">
        <f t="shared" si="5"/>
        <v/>
      </c>
      <c r="H67" s="21">
        <f>COUNTIF(الرصد!T$3:T$222,0)</f>
        <v>0</v>
      </c>
      <c r="I67" s="31" t="str">
        <f t="shared" si="6"/>
        <v/>
      </c>
    </row>
    <row r="68" spans="1:9" ht="15" customHeight="1">
      <c r="A68" s="16">
        <f>IF(المهارات!$E20="","",المهارات!$E20)</f>
        <v>19</v>
      </c>
      <c r="B68" s="31" t="str">
        <f>IF(المهارات!$F20="","",المهارات!$F20)</f>
        <v/>
      </c>
      <c r="C68" s="24" t="str">
        <f>IF(المهارات!$G20="","",المهارات!$G20)</f>
        <v/>
      </c>
      <c r="D68" s="32" t="str">
        <f>IFERROR(AVERAGE(الرصد!U$3:U$222),"")</f>
        <v/>
      </c>
      <c r="E68" s="23" t="str">
        <f t="shared" si="4"/>
        <v/>
      </c>
      <c r="F68" s="21" t="str">
        <f>IF($C68="","",COUNTIF(الرصد!U$3:U$222,"&gt;="&amp;$B$4*$C68))</f>
        <v/>
      </c>
      <c r="G68" s="23" t="str">
        <f t="shared" si="5"/>
        <v/>
      </c>
      <c r="H68" s="21">
        <f>COUNTIF(الرصد!U$3:U$222,0)</f>
        <v>0</v>
      </c>
      <c r="I68" s="31" t="str">
        <f t="shared" si="6"/>
        <v/>
      </c>
    </row>
    <row r="69" spans="1:9" ht="15" customHeight="1">
      <c r="A69" s="16">
        <f>IF(المهارات!$E21="","",المهارات!$E21)</f>
        <v>20</v>
      </c>
      <c r="B69" s="31" t="str">
        <f>IF(المهارات!$F21="","",المهارات!$F21)</f>
        <v/>
      </c>
      <c r="C69" s="24" t="str">
        <f>IF(المهارات!$G21="","",المهارات!$G21)</f>
        <v/>
      </c>
      <c r="D69" s="32" t="str">
        <f>IFERROR(AVERAGE(الرصد!V$3:V$222),"")</f>
        <v/>
      </c>
      <c r="E69" s="23" t="str">
        <f t="shared" si="4"/>
        <v/>
      </c>
      <c r="F69" s="21" t="str">
        <f>IF($C69="","",COUNTIF(الرصد!V$3:V$222,"&gt;="&amp;$B$4*$C69))</f>
        <v/>
      </c>
      <c r="G69" s="23" t="str">
        <f t="shared" si="5"/>
        <v/>
      </c>
      <c r="H69" s="21">
        <f>COUNTIF(الرصد!V$3:V$222,0)</f>
        <v>0</v>
      </c>
      <c r="I69" s="31" t="str">
        <f t="shared" si="6"/>
        <v/>
      </c>
    </row>
    <row r="70" spans="1:9" ht="15" customHeight="1">
      <c r="A70" s="16">
        <f>IF(المهارات!$E22="","",المهارات!$E22)</f>
        <v>21</v>
      </c>
      <c r="B70" s="31" t="str">
        <f>IF(المهارات!$F22="","",المهارات!$F22)</f>
        <v/>
      </c>
      <c r="C70" s="24" t="str">
        <f>IF(المهارات!$G22="","",المهارات!$G22)</f>
        <v/>
      </c>
      <c r="D70" s="32" t="str">
        <f>IFERROR(AVERAGE(الرصد!W$3:W$222),"")</f>
        <v/>
      </c>
      <c r="E70" s="23" t="str">
        <f t="shared" si="4"/>
        <v/>
      </c>
      <c r="F70" s="21" t="str">
        <f>IF($C70="","",COUNTIF(الرصد!W$3:W$222,"&gt;="&amp;$B$4*$C70))</f>
        <v/>
      </c>
      <c r="G70" s="23" t="str">
        <f t="shared" si="5"/>
        <v/>
      </c>
      <c r="H70" s="21">
        <f>COUNTIF(الرصد!W$3:W$222,0)</f>
        <v>0</v>
      </c>
      <c r="I70" s="31" t="str">
        <f t="shared" si="6"/>
        <v/>
      </c>
    </row>
    <row r="71" spans="1:9" ht="15" customHeight="1">
      <c r="A71" s="16">
        <f>IF(المهارات!$E23="","",المهارات!$E23)</f>
        <v>22</v>
      </c>
      <c r="B71" s="31" t="str">
        <f>IF(المهارات!$F23="","",المهارات!$F23)</f>
        <v/>
      </c>
      <c r="C71" s="24" t="str">
        <f>IF(المهارات!$G23="","",المهارات!$G23)</f>
        <v/>
      </c>
      <c r="D71" s="32" t="str">
        <f>IFERROR(AVERAGE(الرصد!X$3:X$222),"")</f>
        <v/>
      </c>
      <c r="E71" s="23" t="str">
        <f t="shared" si="4"/>
        <v/>
      </c>
      <c r="F71" s="21" t="str">
        <f>IF($C71="","",COUNTIF(الرصد!X$3:X$222,"&gt;="&amp;$B$4*$C71))</f>
        <v/>
      </c>
      <c r="G71" s="23" t="str">
        <f t="shared" si="5"/>
        <v/>
      </c>
      <c r="H71" s="21">
        <f>COUNTIF(الرصد!X$3:X$222,0)</f>
        <v>0</v>
      </c>
      <c r="I71" s="31" t="str">
        <f t="shared" si="6"/>
        <v/>
      </c>
    </row>
    <row r="72" spans="1:9" ht="15" customHeight="1">
      <c r="A72" s="16">
        <f>IF(المهارات!$E24="","",المهارات!$E24)</f>
        <v>23</v>
      </c>
      <c r="B72" s="31" t="str">
        <f>IF(المهارات!$F24="","",المهارات!$F24)</f>
        <v/>
      </c>
      <c r="C72" s="24" t="str">
        <f>IF(المهارات!$G24="","",المهارات!$G24)</f>
        <v/>
      </c>
      <c r="D72" s="32" t="str">
        <f>IFERROR(AVERAGE(الرصد!Y$3:Y$222),"")</f>
        <v/>
      </c>
      <c r="E72" s="23" t="str">
        <f t="shared" si="4"/>
        <v/>
      </c>
      <c r="F72" s="21" t="str">
        <f>IF($C72="","",COUNTIF(الرصد!Y$3:Y$222,"&gt;="&amp;$B$4*$C72))</f>
        <v/>
      </c>
      <c r="G72" s="23" t="str">
        <f t="shared" si="5"/>
        <v/>
      </c>
      <c r="H72" s="21">
        <f>COUNTIF(الرصد!Y$3:Y$222,0)</f>
        <v>0</v>
      </c>
      <c r="I72" s="31" t="str">
        <f t="shared" si="6"/>
        <v/>
      </c>
    </row>
    <row r="74" spans="1:9" ht="25.5" customHeight="1">
      <c r="A74" s="7" t="s">
        <v>44</v>
      </c>
      <c r="B74" s="7"/>
      <c r="C74" s="7"/>
      <c r="D74" s="7"/>
    </row>
    <row r="75" spans="1:9" ht="15.75" customHeight="1">
      <c r="A75" s="15" t="s">
        <v>45</v>
      </c>
      <c r="B75" s="15" t="s">
        <v>7</v>
      </c>
      <c r="C75" s="15" t="s">
        <v>46</v>
      </c>
      <c r="D75" s="15" t="s">
        <v>47</v>
      </c>
    </row>
    <row r="76" spans="1:9" ht="15" customHeight="1">
      <c r="A76" s="20" t="s">
        <v>48</v>
      </c>
      <c r="B76" s="21">
        <f>COUNTIF(التحليل!$C$3:$C$222,"&gt;="&amp;0.9*$B$5)</f>
        <v>0</v>
      </c>
      <c r="C76" s="23" t="str">
        <f>IF($B$10=0,"",$B76/$B$10)</f>
        <v/>
      </c>
      <c r="D76" s="31" t="str">
        <f>TEXT(0.9*$B$5,"0.#")&amp;" فأكثر"</f>
        <v>0. فأكثر</v>
      </c>
    </row>
    <row r="77" spans="1:9" ht="15" customHeight="1">
      <c r="A77" s="20" t="s">
        <v>49</v>
      </c>
      <c r="B77" s="21">
        <f>COUNTIFS(التحليل!$C$3:$C$222,"&gt;="&amp;0.8*$B$5,التحليل!$C$3:$C$222,"&lt;"&amp;0.9*$B$5)</f>
        <v>0</v>
      </c>
      <c r="C77" s="23" t="str">
        <f>IF($B$10=0,"",$B77/$B$10)</f>
        <v/>
      </c>
      <c r="D77" s="31" t="str">
        <f>TEXT(0.8*$B$5,"0.#")&amp;" – "&amp;TEXT(0.9*$B$5,"0.#")</f>
        <v>0. – 0.</v>
      </c>
    </row>
    <row r="78" spans="1:9" ht="15" customHeight="1">
      <c r="A78" s="20" t="s">
        <v>50</v>
      </c>
      <c r="B78" s="21">
        <f>COUNTIFS(التحليل!$C$3:$C$222,"&gt;="&amp;0.7*$B$5,التحليل!$C$3:$C$222,"&lt;"&amp;0.8*$B$5)</f>
        <v>0</v>
      </c>
      <c r="C78" s="23" t="str">
        <f>IF($B$10=0,"",$B78/$B$10)</f>
        <v/>
      </c>
      <c r="D78" s="31" t="str">
        <f>TEXT(0.7*$B$5,"0.#")&amp;" – "&amp;TEXT(0.8*$B$5,"0.#")</f>
        <v>0. – 0.</v>
      </c>
    </row>
    <row r="79" spans="1:9" ht="15" customHeight="1">
      <c r="A79" s="20" t="s">
        <v>51</v>
      </c>
      <c r="B79" s="21">
        <f>COUNTIFS(التحليل!$C$3:$C$222,"&gt;="&amp;0.6*$B$5,التحليل!$C$3:$C$222,"&lt;"&amp;0.7*$B$5)</f>
        <v>0</v>
      </c>
      <c r="C79" s="23" t="str">
        <f>IF($B$10=0,"",$B79/$B$10)</f>
        <v/>
      </c>
      <c r="D79" s="31" t="str">
        <f>TEXT(0.6*$B$5,"0.#")&amp;" – "&amp;TEXT(0.7*$B$5,"0.#")</f>
        <v>0. – 0.</v>
      </c>
    </row>
    <row r="80" spans="1:9" ht="15" customHeight="1">
      <c r="A80" s="20" t="s">
        <v>52</v>
      </c>
      <c r="B80" s="21">
        <f>COUNTIFS(التحليل!$C$3:$C$222,"&gt;=0",التحليل!$C$3:$C$222,"&lt;"&amp;0.6*$B$5)</f>
        <v>0</v>
      </c>
      <c r="C80" s="23" t="str">
        <f>IF($B$10=0,"",$B80/$B$10)</f>
        <v/>
      </c>
      <c r="D80" s="31" t="str">
        <f>"أقل من "&amp;TEXT(0.6*$B$5,"0.#")</f>
        <v>أقل من 0.</v>
      </c>
    </row>
    <row r="82" spans="1:9" ht="21">
      <c r="A82" s="33" t="s">
        <v>53</v>
      </c>
    </row>
    <row r="83" spans="1:9" ht="18.5">
      <c r="A83" s="6" t="s">
        <v>54</v>
      </c>
      <c r="B83" s="6"/>
      <c r="C83" s="6"/>
      <c r="D83" s="6"/>
      <c r="E83" s="6"/>
      <c r="F83" s="6"/>
      <c r="G83" s="6"/>
      <c r="H83" s="6"/>
      <c r="I83" s="6"/>
    </row>
    <row r="84" spans="1:9" ht="18.5">
      <c r="A84" s="6" t="s">
        <v>55</v>
      </c>
      <c r="B84" s="6"/>
      <c r="C84" s="6"/>
      <c r="D84" s="6"/>
      <c r="E84" s="6"/>
      <c r="F84" s="6"/>
      <c r="G84" s="6"/>
      <c r="H84" s="6"/>
      <c r="I84" s="6"/>
    </row>
    <row r="85" spans="1:9" ht="18.5">
      <c r="A85" s="6" t="s">
        <v>56</v>
      </c>
      <c r="B85" s="6"/>
      <c r="C85" s="6"/>
      <c r="D85" s="6"/>
      <c r="E85" s="6"/>
      <c r="F85" s="6"/>
      <c r="G85" s="6"/>
      <c r="H85" s="6"/>
      <c r="I85" s="6"/>
    </row>
  </sheetData>
  <mergeCells count="10">
    <mergeCell ref="A48:I48"/>
    <mergeCell ref="A74:D74"/>
    <mergeCell ref="A83:I83"/>
    <mergeCell ref="A84:I84"/>
    <mergeCell ref="A85:I85"/>
    <mergeCell ref="A1:I1"/>
    <mergeCell ref="A3:I3"/>
    <mergeCell ref="A8:I8"/>
    <mergeCell ref="A11:I11"/>
    <mergeCell ref="A26:I26"/>
  </mergeCells>
  <conditionalFormatting sqref="D28:D46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13:E23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E50:E72">
    <cfRule type="colorScale" priority="6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F28:F46">
    <cfRule type="colorScale" priority="5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I13:I23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rightToLeft="1" zoomScaleNormal="100" workbookViewId="0">
      <selection activeCell="F7" sqref="F7"/>
    </sheetView>
  </sheetViews>
  <sheetFormatPr defaultColWidth="8.54296875" defaultRowHeight="14.5"/>
  <cols>
    <col min="1" max="1" width="13.453125" customWidth="1"/>
    <col min="7" max="7" width="10.7265625" customWidth="1"/>
    <col min="10" max="10" width="12" customWidth="1"/>
  </cols>
  <sheetData>
    <row r="1" spans="1:10" ht="21" customHeight="1">
      <c r="A1" s="34" t="s">
        <v>57</v>
      </c>
      <c r="B1" s="5" t="s">
        <v>58</v>
      </c>
      <c r="C1" s="5"/>
      <c r="E1" s="34" t="s">
        <v>59</v>
      </c>
      <c r="F1" s="34" t="s">
        <v>60</v>
      </c>
      <c r="G1" s="35" t="s">
        <v>33</v>
      </c>
      <c r="J1" s="36" t="s">
        <v>61</v>
      </c>
    </row>
    <row r="2" spans="1:10" ht="14.25" customHeight="1">
      <c r="A2" s="37"/>
      <c r="B2" s="5"/>
      <c r="C2" s="5"/>
      <c r="D2" s="38"/>
      <c r="E2" s="31">
        <v>1</v>
      </c>
      <c r="F2" s="39"/>
      <c r="G2" s="40"/>
      <c r="J2" s="31" t="s">
        <v>18</v>
      </c>
    </row>
    <row r="3" spans="1:10" ht="15" customHeight="1">
      <c r="A3" s="37"/>
      <c r="B3" s="5"/>
      <c r="C3" s="5"/>
      <c r="D3" s="38"/>
      <c r="E3" s="31">
        <v>2</v>
      </c>
      <c r="F3" s="39"/>
      <c r="G3" s="40"/>
      <c r="J3" s="31" t="s">
        <v>19</v>
      </c>
    </row>
    <row r="4" spans="1:10" ht="15" customHeight="1">
      <c r="A4" s="37"/>
      <c r="B4" s="5"/>
      <c r="C4" s="5"/>
      <c r="D4" s="38"/>
      <c r="E4" s="31">
        <v>3</v>
      </c>
      <c r="F4" s="39"/>
      <c r="G4" s="40"/>
      <c r="J4" s="31" t="s">
        <v>20</v>
      </c>
    </row>
    <row r="5" spans="1:10" ht="15" customHeight="1">
      <c r="A5" s="37"/>
      <c r="B5" s="5"/>
      <c r="C5" s="5"/>
      <c r="D5" s="38"/>
      <c r="E5" s="31">
        <v>4</v>
      </c>
      <c r="F5" s="39"/>
      <c r="G5" s="40"/>
      <c r="J5" s="31" t="s">
        <v>21</v>
      </c>
    </row>
    <row r="6" spans="1:10" ht="15" customHeight="1">
      <c r="A6" s="37"/>
      <c r="B6" s="5"/>
      <c r="C6" s="5"/>
      <c r="D6" s="38"/>
      <c r="E6" s="31">
        <v>5</v>
      </c>
      <c r="F6" s="39"/>
      <c r="G6" s="40"/>
      <c r="J6" s="31" t="s">
        <v>22</v>
      </c>
    </row>
    <row r="7" spans="1:10" ht="15" customHeight="1">
      <c r="A7" s="37"/>
      <c r="B7" s="5"/>
      <c r="C7" s="5"/>
      <c r="D7" s="38"/>
      <c r="E7" s="31">
        <v>6</v>
      </c>
      <c r="F7" s="39"/>
      <c r="G7" s="40"/>
      <c r="J7" s="31" t="s">
        <v>23</v>
      </c>
    </row>
    <row r="8" spans="1:10" ht="15" customHeight="1">
      <c r="A8" s="37"/>
      <c r="B8" s="5"/>
      <c r="C8" s="5"/>
      <c r="D8" s="38"/>
      <c r="E8" s="31">
        <v>7</v>
      </c>
      <c r="F8" s="39"/>
      <c r="G8" s="40"/>
      <c r="J8" s="31" t="s">
        <v>24</v>
      </c>
    </row>
    <row r="9" spans="1:10" ht="15" customHeight="1">
      <c r="A9" s="37"/>
      <c r="B9" s="5"/>
      <c r="C9" s="5"/>
      <c r="D9" s="38"/>
      <c r="E9" s="31">
        <v>8</v>
      </c>
      <c r="F9" s="39"/>
      <c r="G9" s="40"/>
      <c r="J9" s="31" t="s">
        <v>25</v>
      </c>
    </row>
    <row r="10" spans="1:10" ht="15" customHeight="1">
      <c r="A10" s="37"/>
      <c r="B10" s="5"/>
      <c r="C10" s="5"/>
      <c r="D10" s="38"/>
      <c r="E10" s="31">
        <v>9</v>
      </c>
      <c r="F10" s="39"/>
      <c r="G10" s="40"/>
      <c r="J10" s="31" t="s">
        <v>26</v>
      </c>
    </row>
    <row r="11" spans="1:10" ht="15" customHeight="1">
      <c r="A11" s="37"/>
      <c r="B11" s="5"/>
      <c r="C11" s="5"/>
      <c r="E11" s="31">
        <v>10</v>
      </c>
      <c r="F11" s="39"/>
      <c r="G11" s="40"/>
      <c r="J11" s="31" t="s">
        <v>27</v>
      </c>
    </row>
    <row r="12" spans="1:10" ht="15" customHeight="1">
      <c r="A12" s="37"/>
      <c r="B12" s="5"/>
      <c r="C12" s="5"/>
      <c r="E12" s="31">
        <v>11</v>
      </c>
      <c r="F12" s="39"/>
      <c r="G12" s="40"/>
      <c r="J12" s="31" t="s">
        <v>28</v>
      </c>
    </row>
    <row r="13" spans="1:10" ht="15" customHeight="1">
      <c r="A13" s="37"/>
      <c r="B13" s="5"/>
      <c r="C13" s="5"/>
      <c r="E13" s="31">
        <v>12</v>
      </c>
      <c r="F13" s="39"/>
      <c r="G13" s="40"/>
    </row>
    <row r="14" spans="1:10" ht="15" customHeight="1">
      <c r="A14" s="37"/>
      <c r="B14" s="5"/>
      <c r="C14" s="5"/>
      <c r="E14" s="31">
        <v>13</v>
      </c>
      <c r="F14" s="39"/>
      <c r="G14" s="40"/>
    </row>
    <row r="15" spans="1:10" ht="15" customHeight="1">
      <c r="A15" s="37"/>
      <c r="B15" s="5"/>
      <c r="C15" s="5"/>
      <c r="E15" s="31">
        <v>14</v>
      </c>
      <c r="F15" s="39"/>
      <c r="G15" s="40"/>
    </row>
    <row r="16" spans="1:10" ht="15" customHeight="1">
      <c r="A16" s="37"/>
      <c r="B16" s="5"/>
      <c r="C16" s="5"/>
      <c r="E16" s="31">
        <v>15</v>
      </c>
      <c r="F16" s="39"/>
      <c r="G16" s="40"/>
    </row>
    <row r="17" spans="1:7" ht="15" customHeight="1">
      <c r="A17" s="37"/>
      <c r="B17" s="5"/>
      <c r="C17" s="5"/>
      <c r="E17" s="31">
        <v>16</v>
      </c>
      <c r="F17" s="39"/>
      <c r="G17" s="40"/>
    </row>
    <row r="18" spans="1:7" ht="15" customHeight="1">
      <c r="A18" s="37"/>
      <c r="B18" s="5"/>
      <c r="C18" s="5"/>
      <c r="E18" s="31">
        <v>17</v>
      </c>
      <c r="F18" s="39"/>
      <c r="G18" s="40"/>
    </row>
    <row r="19" spans="1:7" ht="15" customHeight="1">
      <c r="A19" s="37"/>
      <c r="B19" s="5"/>
      <c r="C19" s="5"/>
      <c r="E19" s="31">
        <v>18</v>
      </c>
      <c r="F19" s="39"/>
      <c r="G19" s="40"/>
    </row>
    <row r="20" spans="1:7" ht="15" customHeight="1">
      <c r="A20" s="37"/>
      <c r="B20" s="5"/>
      <c r="C20" s="5"/>
      <c r="E20" s="31">
        <v>19</v>
      </c>
      <c r="F20" s="39"/>
      <c r="G20" s="40"/>
    </row>
    <row r="21" spans="1:7" ht="15" customHeight="1">
      <c r="E21" s="31">
        <v>20</v>
      </c>
      <c r="F21" s="39"/>
      <c r="G21" s="40"/>
    </row>
    <row r="22" spans="1:7" ht="15" customHeight="1">
      <c r="E22" s="31">
        <v>21</v>
      </c>
      <c r="F22" s="39"/>
      <c r="G22" s="40"/>
    </row>
    <row r="23" spans="1:7" ht="15" customHeight="1">
      <c r="E23" s="31">
        <v>22</v>
      </c>
      <c r="F23" s="39"/>
      <c r="G23" s="40"/>
    </row>
    <row r="24" spans="1:7" ht="15" customHeight="1">
      <c r="E24" s="31">
        <v>23</v>
      </c>
      <c r="F24" s="39"/>
      <c r="G24" s="40"/>
    </row>
    <row r="26" spans="1:7" ht="17.25" customHeight="1">
      <c r="E26" s="4" t="s">
        <v>62</v>
      </c>
      <c r="F26" s="4"/>
      <c r="G26" s="4"/>
    </row>
    <row r="27" spans="1:7" ht="15" customHeight="1">
      <c r="E27" s="3" t="s">
        <v>63</v>
      </c>
      <c r="F27" s="3"/>
      <c r="G27" s="14">
        <f>SUM(G2:G24)</f>
        <v>0</v>
      </c>
    </row>
    <row r="28" spans="1:7" ht="15" customHeight="1">
      <c r="E28" s="3" t="s">
        <v>64</v>
      </c>
      <c r="F28" s="3"/>
      <c r="G28" s="16">
        <f>SUMPRODUCT((E2:E24&lt;&gt;"")*(F2:F24&lt;&gt;""))</f>
        <v>0</v>
      </c>
    </row>
    <row r="29" spans="1:7" ht="15" customHeight="1">
      <c r="E29" s="3" t="s">
        <v>65</v>
      </c>
      <c r="F29" s="3"/>
      <c r="G29" s="16">
        <f>SUMPRODUCT((E2:E24&lt;&gt;"")*(F2:F24=""))</f>
        <v>23</v>
      </c>
    </row>
    <row r="30" spans="1:7" ht="15" customHeight="1">
      <c r="E30" s="3" t="s">
        <v>66</v>
      </c>
      <c r="F30" s="3"/>
      <c r="G30" s="16">
        <f>SUMPRODUCT((E2:E24&lt;&gt;"")*(G2:G24=""))</f>
        <v>23</v>
      </c>
    </row>
    <row r="31" spans="1:7" ht="14.25" customHeight="1">
      <c r="E31" s="13" t="s">
        <v>67</v>
      </c>
    </row>
  </sheetData>
  <mergeCells count="6">
    <mergeCell ref="E30:F30"/>
    <mergeCell ref="B1:C20"/>
    <mergeCell ref="E26:G26"/>
    <mergeCell ref="E27:F27"/>
    <mergeCell ref="E28:F28"/>
    <mergeCell ref="E29:F29"/>
  </mergeCells>
  <dataValidations count="2">
    <dataValidation type="list" allowBlank="1" showInputMessage="1" showErrorMessage="1" sqref="F2:F24" xr:uid="{00000000-0002-0000-0100-000000000000}">
      <formula1>$A$2:$A$20</formula1>
      <formula2>0</formula2>
    </dataValidation>
    <dataValidation type="decimal" operator="greaterThan" allowBlank="1" errorTitle="قيمة غير صحيحة" error="أدخل درجة كلية أكبر من صفر." sqref="G2:G24" xr:uid="{00000000-0002-0000-0100-000001000000}">
      <formula1>0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23"/>
  <sheetViews>
    <sheetView rightToLeft="1" topLeftCell="H1" zoomScaleNormal="100" workbookViewId="0">
      <pane xSplit="2" ySplit="2" topLeftCell="C3" activePane="bottomRight" state="frozen"/>
      <selection sqref="A1:A2"/>
      <selection pane="topRight" sqref="A1:A2"/>
      <selection pane="bottomLeft" sqref="A1:A2"/>
      <selection pane="bottomRight" sqref="A1:A2"/>
    </sheetView>
  </sheetViews>
  <sheetFormatPr defaultColWidth="8.7265625" defaultRowHeight="14.5"/>
  <cols>
    <col min="1" max="1" width="25.36328125" style="41" customWidth="1"/>
    <col min="2" max="16384" width="8.7265625" style="41"/>
  </cols>
  <sheetData>
    <row r="1" spans="1:27" ht="19.5" customHeight="1">
      <c r="A1" s="10" t="s">
        <v>68</v>
      </c>
      <c r="B1" s="10" t="s">
        <v>69</v>
      </c>
      <c r="C1" s="9" t="s">
        <v>70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42"/>
      <c r="T1" s="42"/>
      <c r="U1" s="42"/>
      <c r="V1" s="42"/>
      <c r="W1" s="42"/>
      <c r="X1" s="42"/>
      <c r="Y1" s="42"/>
      <c r="AA1" s="43" t="s">
        <v>71</v>
      </c>
    </row>
    <row r="2" spans="1:27" ht="14.25" customHeight="1">
      <c r="A2" s="10"/>
      <c r="B2" s="10"/>
      <c r="C2" s="44">
        <f>المهارات!E2</f>
        <v>1</v>
      </c>
      <c r="D2" s="44">
        <f>المهارات!E3</f>
        <v>2</v>
      </c>
      <c r="E2" s="44">
        <f>المهارات!E4</f>
        <v>3</v>
      </c>
      <c r="F2" s="44">
        <f>المهارات!E5</f>
        <v>4</v>
      </c>
      <c r="G2" s="44">
        <f>المهارات!E6</f>
        <v>5</v>
      </c>
      <c r="H2" s="44">
        <f>المهارات!E7</f>
        <v>6</v>
      </c>
      <c r="I2" s="44">
        <f>المهارات!E8</f>
        <v>7</v>
      </c>
      <c r="J2" s="44">
        <f>المهارات!E9</f>
        <v>8</v>
      </c>
      <c r="K2" s="44">
        <f>المهارات!E10</f>
        <v>9</v>
      </c>
      <c r="L2" s="44">
        <f>المهارات!E11</f>
        <v>10</v>
      </c>
      <c r="M2" s="44">
        <f>المهارات!E12</f>
        <v>11</v>
      </c>
      <c r="N2" s="44">
        <f>المهارات!E13</f>
        <v>12</v>
      </c>
      <c r="O2" s="44">
        <f>المهارات!E14</f>
        <v>13</v>
      </c>
      <c r="P2" s="44">
        <f>المهارات!E15</f>
        <v>14</v>
      </c>
      <c r="Q2" s="44">
        <f>المهارات!E16</f>
        <v>15</v>
      </c>
      <c r="R2" s="44">
        <f>المهارات!E17</f>
        <v>16</v>
      </c>
      <c r="S2" s="44">
        <f>المهارات!E18</f>
        <v>17</v>
      </c>
      <c r="T2" s="44">
        <f>المهارات!E19</f>
        <v>18</v>
      </c>
      <c r="U2" s="44">
        <f>المهارات!E20</f>
        <v>19</v>
      </c>
      <c r="V2" s="44">
        <f>المهارات!E21</f>
        <v>20</v>
      </c>
      <c r="W2" s="44">
        <f>المهارات!E22</f>
        <v>21</v>
      </c>
      <c r="X2" s="44">
        <f>المهارات!E23</f>
        <v>22</v>
      </c>
      <c r="Y2" s="44">
        <f>المهارات!E24</f>
        <v>23</v>
      </c>
    </row>
    <row r="3" spans="1:27" ht="14.25" customHeight="1">
      <c r="A3" s="42" t="s">
        <v>72</v>
      </c>
      <c r="B3" s="42" t="s">
        <v>18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AA3" s="45" t="str">
        <f t="shared" ref="AA3:AA66" si="0">IF(COUNT(C3:Y3)=0,"",SUM(C3:Y3))</f>
        <v/>
      </c>
    </row>
    <row r="4" spans="1:27" ht="14.25" customHeight="1">
      <c r="A4" s="46" t="s">
        <v>73</v>
      </c>
      <c r="B4" s="46" t="s">
        <v>18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AA4" s="45" t="str">
        <f t="shared" si="0"/>
        <v/>
      </c>
    </row>
    <row r="5" spans="1:27" ht="14.25" customHeight="1">
      <c r="A5" s="42" t="s">
        <v>74</v>
      </c>
      <c r="B5" s="42" t="s">
        <v>18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AA5" s="45" t="str">
        <f t="shared" si="0"/>
        <v/>
      </c>
    </row>
    <row r="6" spans="1:27" ht="14.25" customHeight="1">
      <c r="A6" s="46" t="s">
        <v>75</v>
      </c>
      <c r="B6" s="46" t="s">
        <v>18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AA6" s="45" t="str">
        <f t="shared" si="0"/>
        <v/>
      </c>
    </row>
    <row r="7" spans="1:27" ht="14.25" customHeight="1">
      <c r="A7" s="42" t="s">
        <v>76</v>
      </c>
      <c r="B7" s="42" t="s">
        <v>18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AA7" s="45" t="str">
        <f t="shared" si="0"/>
        <v/>
      </c>
    </row>
    <row r="8" spans="1:27" ht="14.25" customHeight="1">
      <c r="A8" s="46" t="s">
        <v>77</v>
      </c>
      <c r="B8" s="46" t="s">
        <v>18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AA8" s="45" t="str">
        <f t="shared" si="0"/>
        <v/>
      </c>
    </row>
    <row r="9" spans="1:27" ht="14.25" customHeight="1">
      <c r="A9" s="42" t="s">
        <v>78</v>
      </c>
      <c r="B9" s="42" t="s">
        <v>18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AA9" s="45" t="str">
        <f t="shared" si="0"/>
        <v/>
      </c>
    </row>
    <row r="10" spans="1:27" ht="14.25" customHeight="1">
      <c r="A10" s="46" t="s">
        <v>79</v>
      </c>
      <c r="B10" s="46" t="s">
        <v>18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AA10" s="45" t="str">
        <f t="shared" si="0"/>
        <v/>
      </c>
    </row>
    <row r="11" spans="1:27" ht="14.25" customHeight="1">
      <c r="A11" s="42" t="s">
        <v>80</v>
      </c>
      <c r="B11" s="42" t="s">
        <v>18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AA11" s="45" t="str">
        <f t="shared" si="0"/>
        <v/>
      </c>
    </row>
    <row r="12" spans="1:27" ht="14.25" customHeight="1">
      <c r="A12" s="46" t="s">
        <v>81</v>
      </c>
      <c r="B12" s="46" t="s">
        <v>18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AA12" s="45" t="str">
        <f t="shared" si="0"/>
        <v/>
      </c>
    </row>
    <row r="13" spans="1:27" ht="14.25" customHeight="1">
      <c r="A13" s="42" t="s">
        <v>82</v>
      </c>
      <c r="B13" s="42" t="s">
        <v>18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AA13" s="45" t="str">
        <f t="shared" si="0"/>
        <v/>
      </c>
    </row>
    <row r="14" spans="1:27" ht="14.25" customHeight="1">
      <c r="A14" s="46" t="s">
        <v>83</v>
      </c>
      <c r="B14" s="46" t="s">
        <v>18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AA14" s="45" t="str">
        <f t="shared" si="0"/>
        <v/>
      </c>
    </row>
    <row r="15" spans="1:27" ht="14.25" customHeight="1">
      <c r="A15" s="42" t="s">
        <v>84</v>
      </c>
      <c r="B15" s="42" t="s">
        <v>18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AA15" s="45" t="str">
        <f t="shared" si="0"/>
        <v/>
      </c>
    </row>
    <row r="16" spans="1:27" ht="14.25" customHeight="1">
      <c r="A16" s="46" t="s">
        <v>85</v>
      </c>
      <c r="B16" s="46" t="s">
        <v>18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AA16" s="45" t="str">
        <f t="shared" si="0"/>
        <v/>
      </c>
    </row>
    <row r="17" spans="1:27" ht="14.25" customHeight="1">
      <c r="A17" s="42" t="s">
        <v>86</v>
      </c>
      <c r="B17" s="42" t="s">
        <v>18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AA17" s="45" t="str">
        <f t="shared" si="0"/>
        <v/>
      </c>
    </row>
    <row r="18" spans="1:27" ht="14.25" customHeight="1">
      <c r="A18" s="46" t="s">
        <v>87</v>
      </c>
      <c r="B18" s="46" t="s">
        <v>18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AA18" s="45" t="str">
        <f t="shared" si="0"/>
        <v/>
      </c>
    </row>
    <row r="19" spans="1:27" ht="14.25" customHeight="1">
      <c r="A19" s="42" t="s">
        <v>88</v>
      </c>
      <c r="B19" s="42" t="s">
        <v>18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AA19" s="45" t="str">
        <f t="shared" si="0"/>
        <v/>
      </c>
    </row>
    <row r="20" spans="1:27" ht="14.25" customHeight="1">
      <c r="A20" s="46" t="s">
        <v>89</v>
      </c>
      <c r="B20" s="46" t="s">
        <v>18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AA20" s="45" t="str">
        <f t="shared" si="0"/>
        <v/>
      </c>
    </row>
    <row r="21" spans="1:27" ht="14.25" customHeight="1">
      <c r="A21" s="42" t="s">
        <v>90</v>
      </c>
      <c r="B21" s="42" t="s">
        <v>18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AA21" s="45" t="str">
        <f t="shared" si="0"/>
        <v/>
      </c>
    </row>
    <row r="22" spans="1:27" ht="14.25" customHeight="1">
      <c r="A22" s="46" t="s">
        <v>91</v>
      </c>
      <c r="B22" s="46" t="s">
        <v>18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AA22" s="45" t="str">
        <f t="shared" si="0"/>
        <v/>
      </c>
    </row>
    <row r="23" spans="1:27" ht="14.25" customHeight="1">
      <c r="A23" s="42" t="s">
        <v>92</v>
      </c>
      <c r="B23" s="42" t="s">
        <v>18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AA23" s="45" t="str">
        <f t="shared" si="0"/>
        <v/>
      </c>
    </row>
    <row r="24" spans="1:27" ht="14.25" customHeight="1">
      <c r="A24" s="46" t="s">
        <v>93</v>
      </c>
      <c r="B24" s="46" t="s">
        <v>27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AA24" s="45" t="str">
        <f t="shared" si="0"/>
        <v/>
      </c>
    </row>
    <row r="25" spans="1:27" ht="14.25" customHeight="1">
      <c r="A25" s="42" t="s">
        <v>94</v>
      </c>
      <c r="B25" s="42" t="s">
        <v>27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AA25" s="45" t="str">
        <f t="shared" si="0"/>
        <v/>
      </c>
    </row>
    <row r="26" spans="1:27" ht="14.25" customHeight="1">
      <c r="A26" s="46" t="s">
        <v>95</v>
      </c>
      <c r="B26" s="46" t="s">
        <v>27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AA26" s="45" t="str">
        <f t="shared" si="0"/>
        <v/>
      </c>
    </row>
    <row r="27" spans="1:27" ht="14.25" customHeight="1">
      <c r="A27" s="42" t="s">
        <v>96</v>
      </c>
      <c r="B27" s="42" t="s">
        <v>27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AA27" s="45" t="str">
        <f t="shared" si="0"/>
        <v/>
      </c>
    </row>
    <row r="28" spans="1:27" ht="14.25" customHeight="1">
      <c r="A28" s="46" t="s">
        <v>97</v>
      </c>
      <c r="B28" s="46" t="s">
        <v>27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AA28" s="45" t="str">
        <f t="shared" si="0"/>
        <v/>
      </c>
    </row>
    <row r="29" spans="1:27" ht="14.25" customHeight="1">
      <c r="A29" s="42" t="s">
        <v>98</v>
      </c>
      <c r="B29" s="42" t="s">
        <v>27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AA29" s="45" t="str">
        <f t="shared" si="0"/>
        <v/>
      </c>
    </row>
    <row r="30" spans="1:27" ht="14.25" customHeight="1">
      <c r="A30" s="46" t="s">
        <v>99</v>
      </c>
      <c r="B30" s="46" t="s">
        <v>27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AA30" s="45" t="str">
        <f t="shared" si="0"/>
        <v/>
      </c>
    </row>
    <row r="31" spans="1:27" ht="14.25" customHeight="1">
      <c r="A31" s="42" t="s">
        <v>100</v>
      </c>
      <c r="B31" s="42" t="s">
        <v>27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AA31" s="45" t="str">
        <f t="shared" si="0"/>
        <v/>
      </c>
    </row>
    <row r="32" spans="1:27" ht="14.25" customHeight="1">
      <c r="A32" s="46" t="s">
        <v>101</v>
      </c>
      <c r="B32" s="46" t="s">
        <v>27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AA32" s="45" t="str">
        <f t="shared" si="0"/>
        <v/>
      </c>
    </row>
    <row r="33" spans="1:27" ht="14.25" customHeight="1">
      <c r="A33" s="42" t="s">
        <v>102</v>
      </c>
      <c r="B33" s="42" t="s">
        <v>27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AA33" s="45" t="str">
        <f t="shared" si="0"/>
        <v/>
      </c>
    </row>
    <row r="34" spans="1:27" ht="14.25" customHeight="1">
      <c r="A34" s="46" t="s">
        <v>103</v>
      </c>
      <c r="B34" s="46" t="s">
        <v>27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AA34" s="45" t="str">
        <f t="shared" si="0"/>
        <v/>
      </c>
    </row>
    <row r="35" spans="1:27" ht="14.25" customHeight="1">
      <c r="A35" s="42" t="s">
        <v>104</v>
      </c>
      <c r="B35" s="42" t="s">
        <v>27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AA35" s="45" t="str">
        <f t="shared" si="0"/>
        <v/>
      </c>
    </row>
    <row r="36" spans="1:27" ht="14.25" customHeight="1">
      <c r="A36" s="46" t="s">
        <v>105</v>
      </c>
      <c r="B36" s="46" t="s">
        <v>27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AA36" s="45" t="str">
        <f t="shared" si="0"/>
        <v/>
      </c>
    </row>
    <row r="37" spans="1:27" ht="14.25" customHeight="1">
      <c r="A37" s="42" t="s">
        <v>106</v>
      </c>
      <c r="B37" s="42" t="s">
        <v>27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AA37" s="45" t="str">
        <f t="shared" si="0"/>
        <v/>
      </c>
    </row>
    <row r="38" spans="1:27" ht="14.25" customHeight="1">
      <c r="A38" s="46" t="s">
        <v>107</v>
      </c>
      <c r="B38" s="46" t="s">
        <v>27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AA38" s="45" t="str">
        <f t="shared" si="0"/>
        <v/>
      </c>
    </row>
    <row r="39" spans="1:27" ht="14.25" customHeight="1">
      <c r="A39" s="42" t="s">
        <v>108</v>
      </c>
      <c r="B39" s="42" t="s">
        <v>27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AA39" s="45" t="str">
        <f t="shared" si="0"/>
        <v/>
      </c>
    </row>
    <row r="40" spans="1:27" ht="14.25" customHeight="1">
      <c r="A40" s="46" t="s">
        <v>109</v>
      </c>
      <c r="B40" s="46" t="s">
        <v>27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AA40" s="45" t="str">
        <f t="shared" si="0"/>
        <v/>
      </c>
    </row>
    <row r="41" spans="1:27" ht="14.25" customHeight="1">
      <c r="A41" s="42" t="s">
        <v>110</v>
      </c>
      <c r="B41" s="42" t="s">
        <v>27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AA41" s="45" t="str">
        <f t="shared" si="0"/>
        <v/>
      </c>
    </row>
    <row r="42" spans="1:27" ht="14.25" customHeight="1">
      <c r="A42" s="46" t="s">
        <v>111</v>
      </c>
      <c r="B42" s="46" t="s">
        <v>27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AA42" s="45" t="str">
        <f t="shared" si="0"/>
        <v/>
      </c>
    </row>
    <row r="43" spans="1:27" ht="14.25" customHeight="1">
      <c r="A43" s="42" t="s">
        <v>112</v>
      </c>
      <c r="B43" s="42" t="s">
        <v>27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AA43" s="45" t="str">
        <f t="shared" si="0"/>
        <v/>
      </c>
    </row>
    <row r="44" spans="1:27" ht="14.25" customHeight="1">
      <c r="A44" s="46" t="s">
        <v>113</v>
      </c>
      <c r="B44" s="46" t="s">
        <v>27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AA44" s="45" t="str">
        <f t="shared" si="0"/>
        <v/>
      </c>
    </row>
    <row r="45" spans="1:27" ht="14.25" customHeight="1">
      <c r="A45" s="42" t="s">
        <v>114</v>
      </c>
      <c r="B45" s="42" t="s">
        <v>27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AA45" s="45" t="str">
        <f t="shared" si="0"/>
        <v/>
      </c>
    </row>
    <row r="46" spans="1:27" ht="14.25" customHeight="1">
      <c r="A46" s="46" t="s">
        <v>115</v>
      </c>
      <c r="B46" s="46" t="s">
        <v>27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AA46" s="45" t="str">
        <f t="shared" si="0"/>
        <v/>
      </c>
    </row>
    <row r="47" spans="1:27" ht="14.25" customHeight="1">
      <c r="A47" s="42" t="s">
        <v>116</v>
      </c>
      <c r="B47" s="42" t="s">
        <v>19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AA47" s="45" t="str">
        <f t="shared" si="0"/>
        <v/>
      </c>
    </row>
    <row r="48" spans="1:27" ht="14.25" customHeight="1">
      <c r="A48" s="46" t="s">
        <v>117</v>
      </c>
      <c r="B48" s="46" t="s">
        <v>19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AA48" s="45" t="str">
        <f t="shared" si="0"/>
        <v/>
      </c>
    </row>
    <row r="49" spans="1:27" ht="14.25" customHeight="1">
      <c r="A49" s="42" t="s">
        <v>118</v>
      </c>
      <c r="B49" s="42" t="s">
        <v>19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AA49" s="45" t="str">
        <f t="shared" si="0"/>
        <v/>
      </c>
    </row>
    <row r="50" spans="1:27" ht="14.25" customHeight="1">
      <c r="A50" s="46" t="s">
        <v>119</v>
      </c>
      <c r="B50" s="46" t="s">
        <v>19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AA50" s="45" t="str">
        <f t="shared" si="0"/>
        <v/>
      </c>
    </row>
    <row r="51" spans="1:27" ht="14.25" customHeight="1">
      <c r="A51" s="42" t="s">
        <v>120</v>
      </c>
      <c r="B51" s="42" t="s">
        <v>19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AA51" s="45" t="str">
        <f t="shared" si="0"/>
        <v/>
      </c>
    </row>
    <row r="52" spans="1:27" ht="14.25" customHeight="1">
      <c r="A52" s="46" t="s">
        <v>121</v>
      </c>
      <c r="B52" s="46" t="s">
        <v>19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AA52" s="45" t="str">
        <f t="shared" si="0"/>
        <v/>
      </c>
    </row>
    <row r="53" spans="1:27" ht="14.25" customHeight="1">
      <c r="A53" s="42" t="s">
        <v>122</v>
      </c>
      <c r="B53" s="42" t="s">
        <v>19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AA53" s="45" t="str">
        <f t="shared" si="0"/>
        <v/>
      </c>
    </row>
    <row r="54" spans="1:27" ht="14.25" customHeight="1">
      <c r="A54" s="46" t="s">
        <v>123</v>
      </c>
      <c r="B54" s="46" t="s">
        <v>19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AA54" s="45" t="str">
        <f t="shared" si="0"/>
        <v/>
      </c>
    </row>
    <row r="55" spans="1:27" ht="14.25" customHeight="1">
      <c r="A55" s="42" t="s">
        <v>124</v>
      </c>
      <c r="B55" s="42" t="s">
        <v>19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AA55" s="45" t="str">
        <f t="shared" si="0"/>
        <v/>
      </c>
    </row>
    <row r="56" spans="1:27" ht="14.25" customHeight="1">
      <c r="A56" s="46" t="s">
        <v>125</v>
      </c>
      <c r="B56" s="46" t="s">
        <v>19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AA56" s="45" t="str">
        <f t="shared" si="0"/>
        <v/>
      </c>
    </row>
    <row r="57" spans="1:27" ht="14.25" customHeight="1">
      <c r="A57" s="42" t="s">
        <v>126</v>
      </c>
      <c r="B57" s="42" t="s">
        <v>19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AA57" s="45" t="str">
        <f t="shared" si="0"/>
        <v/>
      </c>
    </row>
    <row r="58" spans="1:27" ht="14.25" customHeight="1">
      <c r="A58" s="46" t="s">
        <v>127</v>
      </c>
      <c r="B58" s="46" t="s">
        <v>19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AA58" s="45" t="str">
        <f t="shared" si="0"/>
        <v/>
      </c>
    </row>
    <row r="59" spans="1:27" ht="14.25" customHeight="1">
      <c r="A59" s="42" t="s">
        <v>128</v>
      </c>
      <c r="B59" s="42" t="s">
        <v>19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AA59" s="45" t="str">
        <f t="shared" si="0"/>
        <v/>
      </c>
    </row>
    <row r="60" spans="1:27" ht="14.25" customHeight="1">
      <c r="A60" s="46" t="s">
        <v>129</v>
      </c>
      <c r="B60" s="46" t="s">
        <v>19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AA60" s="45" t="str">
        <f t="shared" si="0"/>
        <v/>
      </c>
    </row>
    <row r="61" spans="1:27" ht="14.25" customHeight="1">
      <c r="A61" s="42" t="s">
        <v>130</v>
      </c>
      <c r="B61" s="42" t="s">
        <v>19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AA61" s="45" t="str">
        <f t="shared" si="0"/>
        <v/>
      </c>
    </row>
    <row r="62" spans="1:27" ht="14.25" customHeight="1">
      <c r="A62" s="46" t="s">
        <v>131</v>
      </c>
      <c r="B62" s="46" t="s">
        <v>19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AA62" s="45" t="str">
        <f t="shared" si="0"/>
        <v/>
      </c>
    </row>
    <row r="63" spans="1:27" ht="14.25" customHeight="1">
      <c r="A63" s="42" t="s">
        <v>132</v>
      </c>
      <c r="B63" s="42" t="s">
        <v>19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AA63" s="45" t="str">
        <f t="shared" si="0"/>
        <v/>
      </c>
    </row>
    <row r="64" spans="1:27" ht="14.25" customHeight="1">
      <c r="A64" s="46" t="s">
        <v>133</v>
      </c>
      <c r="B64" s="46" t="s">
        <v>19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AA64" s="45" t="str">
        <f t="shared" si="0"/>
        <v/>
      </c>
    </row>
    <row r="65" spans="1:27" ht="14.25" customHeight="1">
      <c r="A65" s="42" t="s">
        <v>134</v>
      </c>
      <c r="B65" s="42" t="s">
        <v>19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AA65" s="45" t="str">
        <f t="shared" si="0"/>
        <v/>
      </c>
    </row>
    <row r="66" spans="1:27" ht="14.25" customHeight="1">
      <c r="A66" s="46" t="s">
        <v>135</v>
      </c>
      <c r="B66" s="46" t="s">
        <v>19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AA66" s="45" t="str">
        <f t="shared" si="0"/>
        <v/>
      </c>
    </row>
    <row r="67" spans="1:27" ht="14.25" customHeight="1">
      <c r="A67" s="42" t="s">
        <v>136</v>
      </c>
      <c r="B67" s="42" t="s">
        <v>20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AA67" s="45" t="str">
        <f t="shared" ref="AA67:AA130" si="1">IF(COUNT(C67:Y67)=0,"",SUM(C67:Y67))</f>
        <v/>
      </c>
    </row>
    <row r="68" spans="1:27" ht="14.25" customHeight="1">
      <c r="A68" s="46" t="s">
        <v>137</v>
      </c>
      <c r="B68" s="46" t="s">
        <v>20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AA68" s="45" t="str">
        <f t="shared" si="1"/>
        <v/>
      </c>
    </row>
    <row r="69" spans="1:27" ht="14.25" customHeight="1">
      <c r="A69" s="42" t="s">
        <v>138</v>
      </c>
      <c r="B69" s="42" t="s">
        <v>20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AA69" s="45" t="str">
        <f t="shared" si="1"/>
        <v/>
      </c>
    </row>
    <row r="70" spans="1:27" ht="14.25" customHeight="1">
      <c r="A70" s="46" t="s">
        <v>139</v>
      </c>
      <c r="B70" s="46" t="s">
        <v>20</v>
      </c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AA70" s="45" t="str">
        <f t="shared" si="1"/>
        <v/>
      </c>
    </row>
    <row r="71" spans="1:27" ht="14.25" customHeight="1">
      <c r="A71" s="42" t="s">
        <v>140</v>
      </c>
      <c r="B71" s="42" t="s">
        <v>20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AA71" s="45" t="str">
        <f t="shared" si="1"/>
        <v/>
      </c>
    </row>
    <row r="72" spans="1:27" ht="14.25" customHeight="1">
      <c r="A72" s="46" t="s">
        <v>141</v>
      </c>
      <c r="B72" s="46" t="s">
        <v>20</v>
      </c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AA72" s="45" t="str">
        <f t="shared" si="1"/>
        <v/>
      </c>
    </row>
    <row r="73" spans="1:27" ht="14.25" customHeight="1">
      <c r="A73" s="42" t="s">
        <v>142</v>
      </c>
      <c r="B73" s="42" t="s">
        <v>20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AA73" s="45" t="str">
        <f t="shared" si="1"/>
        <v/>
      </c>
    </row>
    <row r="74" spans="1:27" ht="14.25" customHeight="1">
      <c r="A74" s="46" t="s">
        <v>143</v>
      </c>
      <c r="B74" s="46" t="s">
        <v>20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AA74" s="45" t="str">
        <f t="shared" si="1"/>
        <v/>
      </c>
    </row>
    <row r="75" spans="1:27" ht="14.25" customHeight="1">
      <c r="A75" s="42" t="s">
        <v>144</v>
      </c>
      <c r="B75" s="42" t="s">
        <v>20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AA75" s="45" t="str">
        <f t="shared" si="1"/>
        <v/>
      </c>
    </row>
    <row r="76" spans="1:27" ht="14.25" customHeight="1">
      <c r="A76" s="46" t="s">
        <v>145</v>
      </c>
      <c r="B76" s="46" t="s">
        <v>20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AA76" s="45" t="str">
        <f t="shared" si="1"/>
        <v/>
      </c>
    </row>
    <row r="77" spans="1:27" ht="14.25" customHeight="1">
      <c r="A77" s="42" t="s">
        <v>146</v>
      </c>
      <c r="B77" s="42" t="s">
        <v>20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AA77" s="45" t="str">
        <f t="shared" si="1"/>
        <v/>
      </c>
    </row>
    <row r="78" spans="1:27" ht="14.25" customHeight="1">
      <c r="A78" s="46" t="s">
        <v>147</v>
      </c>
      <c r="B78" s="46" t="s">
        <v>20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AA78" s="45" t="str">
        <f t="shared" si="1"/>
        <v/>
      </c>
    </row>
    <row r="79" spans="1:27" ht="14.25" customHeight="1">
      <c r="A79" s="42" t="s">
        <v>148</v>
      </c>
      <c r="B79" s="42" t="s">
        <v>20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AA79" s="45" t="str">
        <f t="shared" si="1"/>
        <v/>
      </c>
    </row>
    <row r="80" spans="1:27" ht="14.25" customHeight="1">
      <c r="A80" s="46" t="s">
        <v>149</v>
      </c>
      <c r="B80" s="46" t="s">
        <v>20</v>
      </c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AA80" s="45" t="str">
        <f t="shared" si="1"/>
        <v/>
      </c>
    </row>
    <row r="81" spans="1:27" ht="14.25" customHeight="1">
      <c r="A81" s="42" t="s">
        <v>150</v>
      </c>
      <c r="B81" s="42" t="s">
        <v>20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AA81" s="45" t="str">
        <f t="shared" si="1"/>
        <v/>
      </c>
    </row>
    <row r="82" spans="1:27" ht="14.25" customHeight="1">
      <c r="A82" s="46" t="s">
        <v>151</v>
      </c>
      <c r="B82" s="46" t="s">
        <v>20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AA82" s="45" t="str">
        <f t="shared" si="1"/>
        <v/>
      </c>
    </row>
    <row r="83" spans="1:27" ht="14.25" customHeight="1">
      <c r="A83" s="42" t="s">
        <v>152</v>
      </c>
      <c r="B83" s="42" t="s">
        <v>20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AA83" s="45" t="str">
        <f t="shared" si="1"/>
        <v/>
      </c>
    </row>
    <row r="84" spans="1:27" ht="14.25" customHeight="1">
      <c r="A84" s="46" t="s">
        <v>153</v>
      </c>
      <c r="B84" s="46" t="s">
        <v>20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AA84" s="45" t="str">
        <f t="shared" si="1"/>
        <v/>
      </c>
    </row>
    <row r="85" spans="1:27" ht="14.25" customHeight="1">
      <c r="A85" s="42" t="s">
        <v>154</v>
      </c>
      <c r="B85" s="42" t="s">
        <v>20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AA85" s="45" t="str">
        <f t="shared" si="1"/>
        <v/>
      </c>
    </row>
    <row r="86" spans="1:27" ht="14.25" customHeight="1">
      <c r="A86" s="46" t="s">
        <v>155</v>
      </c>
      <c r="B86" s="46" t="s">
        <v>20</v>
      </c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AA86" s="45" t="str">
        <f t="shared" si="1"/>
        <v/>
      </c>
    </row>
    <row r="87" spans="1:27" ht="14.25" customHeight="1">
      <c r="A87" s="42" t="s">
        <v>156</v>
      </c>
      <c r="B87" s="42" t="s">
        <v>20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AA87" s="45" t="str">
        <f t="shared" si="1"/>
        <v/>
      </c>
    </row>
    <row r="88" spans="1:27" ht="14.25" customHeight="1">
      <c r="A88" s="46" t="s">
        <v>157</v>
      </c>
      <c r="B88" s="46" t="s">
        <v>20</v>
      </c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AA88" s="45" t="str">
        <f t="shared" si="1"/>
        <v/>
      </c>
    </row>
    <row r="89" spans="1:27" ht="14.25" customHeight="1">
      <c r="A89" s="42" t="s">
        <v>158</v>
      </c>
      <c r="B89" s="42" t="s">
        <v>21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AA89" s="45" t="str">
        <f t="shared" si="1"/>
        <v/>
      </c>
    </row>
    <row r="90" spans="1:27" ht="14.25" customHeight="1">
      <c r="A90" s="46" t="s">
        <v>159</v>
      </c>
      <c r="B90" s="46" t="s">
        <v>21</v>
      </c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AA90" s="45" t="str">
        <f t="shared" si="1"/>
        <v/>
      </c>
    </row>
    <row r="91" spans="1:27" ht="14.25" customHeight="1">
      <c r="A91" s="42" t="s">
        <v>160</v>
      </c>
      <c r="B91" s="42" t="s">
        <v>21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AA91" s="45" t="str">
        <f t="shared" si="1"/>
        <v/>
      </c>
    </row>
    <row r="92" spans="1:27" ht="14.25" customHeight="1">
      <c r="A92" s="46" t="s">
        <v>161</v>
      </c>
      <c r="B92" s="46" t="s">
        <v>21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AA92" s="45" t="str">
        <f t="shared" si="1"/>
        <v/>
      </c>
    </row>
    <row r="93" spans="1:27" ht="14.25" customHeight="1">
      <c r="A93" s="42" t="s">
        <v>162</v>
      </c>
      <c r="B93" s="42" t="s">
        <v>21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AA93" s="45" t="str">
        <f t="shared" si="1"/>
        <v/>
      </c>
    </row>
    <row r="94" spans="1:27" ht="14.25" customHeight="1">
      <c r="A94" s="46" t="s">
        <v>163</v>
      </c>
      <c r="B94" s="46" t="s">
        <v>21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AA94" s="45" t="str">
        <f t="shared" si="1"/>
        <v/>
      </c>
    </row>
    <row r="95" spans="1:27" ht="14.25" customHeight="1">
      <c r="A95" s="42" t="s">
        <v>164</v>
      </c>
      <c r="B95" s="42" t="s">
        <v>21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AA95" s="45" t="str">
        <f t="shared" si="1"/>
        <v/>
      </c>
    </row>
    <row r="96" spans="1:27" ht="14.25" customHeight="1">
      <c r="A96" s="46" t="s">
        <v>165</v>
      </c>
      <c r="B96" s="46" t="s">
        <v>21</v>
      </c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AA96" s="45" t="str">
        <f t="shared" si="1"/>
        <v/>
      </c>
    </row>
    <row r="97" spans="1:27" ht="14.25" customHeight="1">
      <c r="A97" s="42" t="s">
        <v>166</v>
      </c>
      <c r="B97" s="42" t="s">
        <v>21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AA97" s="45" t="str">
        <f t="shared" si="1"/>
        <v/>
      </c>
    </row>
    <row r="98" spans="1:27" ht="14.25" customHeight="1">
      <c r="A98" s="46" t="s">
        <v>167</v>
      </c>
      <c r="B98" s="46" t="s">
        <v>21</v>
      </c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AA98" s="45" t="str">
        <f t="shared" si="1"/>
        <v/>
      </c>
    </row>
    <row r="99" spans="1:27" ht="14.25" customHeight="1">
      <c r="A99" s="42" t="s">
        <v>168</v>
      </c>
      <c r="B99" s="42" t="s">
        <v>21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AA99" s="45" t="str">
        <f t="shared" si="1"/>
        <v/>
      </c>
    </row>
    <row r="100" spans="1:27" ht="14.25" customHeight="1">
      <c r="A100" s="46" t="s">
        <v>169</v>
      </c>
      <c r="B100" s="46" t="s">
        <v>21</v>
      </c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AA100" s="45" t="str">
        <f t="shared" si="1"/>
        <v/>
      </c>
    </row>
    <row r="101" spans="1:27" ht="14.25" customHeight="1">
      <c r="A101" s="42" t="s">
        <v>170</v>
      </c>
      <c r="B101" s="42" t="s">
        <v>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AA101" s="45" t="str">
        <f t="shared" si="1"/>
        <v/>
      </c>
    </row>
    <row r="102" spans="1:27" ht="14.25" customHeight="1">
      <c r="A102" s="46" t="s">
        <v>171</v>
      </c>
      <c r="B102" s="46" t="s">
        <v>21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AA102" s="45" t="str">
        <f t="shared" si="1"/>
        <v/>
      </c>
    </row>
    <row r="103" spans="1:27" ht="14.25" customHeight="1">
      <c r="A103" s="42" t="s">
        <v>172</v>
      </c>
      <c r="B103" s="42" t="s">
        <v>21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AA103" s="45" t="str">
        <f t="shared" si="1"/>
        <v/>
      </c>
    </row>
    <row r="104" spans="1:27" ht="14.25" customHeight="1">
      <c r="A104" s="46" t="s">
        <v>173</v>
      </c>
      <c r="B104" s="46" t="s">
        <v>21</v>
      </c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AA104" s="45" t="str">
        <f t="shared" si="1"/>
        <v/>
      </c>
    </row>
    <row r="105" spans="1:27" ht="14.25" customHeight="1">
      <c r="A105" s="42" t="s">
        <v>174</v>
      </c>
      <c r="B105" s="42" t="s">
        <v>21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AA105" s="45" t="str">
        <f t="shared" si="1"/>
        <v/>
      </c>
    </row>
    <row r="106" spans="1:27" ht="14.25" customHeight="1">
      <c r="A106" s="46" t="s">
        <v>175</v>
      </c>
      <c r="B106" s="46" t="s">
        <v>21</v>
      </c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AA106" s="45" t="str">
        <f t="shared" si="1"/>
        <v/>
      </c>
    </row>
    <row r="107" spans="1:27" ht="14.25" customHeight="1">
      <c r="A107" s="42" t="s">
        <v>176</v>
      </c>
      <c r="B107" s="42" t="s">
        <v>21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AA107" s="45" t="str">
        <f t="shared" si="1"/>
        <v/>
      </c>
    </row>
    <row r="108" spans="1:27" ht="14.25" customHeight="1">
      <c r="A108" s="46" t="s">
        <v>177</v>
      </c>
      <c r="B108" s="46" t="s">
        <v>21</v>
      </c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AA108" s="45" t="str">
        <f t="shared" si="1"/>
        <v/>
      </c>
    </row>
    <row r="109" spans="1:27" ht="14.25" customHeight="1">
      <c r="A109" s="42" t="s">
        <v>178</v>
      </c>
      <c r="B109" s="42" t="s">
        <v>21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AA109" s="45" t="str">
        <f t="shared" si="1"/>
        <v/>
      </c>
    </row>
    <row r="110" spans="1:27" ht="14.25" customHeight="1">
      <c r="A110" s="46" t="s">
        <v>179</v>
      </c>
      <c r="B110" s="46" t="s">
        <v>22</v>
      </c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AA110" s="45" t="str">
        <f t="shared" si="1"/>
        <v/>
      </c>
    </row>
    <row r="111" spans="1:27" ht="14.25" customHeight="1">
      <c r="A111" s="42" t="s">
        <v>180</v>
      </c>
      <c r="B111" s="42" t="s">
        <v>22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AA111" s="45" t="str">
        <f t="shared" si="1"/>
        <v/>
      </c>
    </row>
    <row r="112" spans="1:27" ht="14.25" customHeight="1">
      <c r="A112" s="46" t="s">
        <v>181</v>
      </c>
      <c r="B112" s="46" t="s">
        <v>22</v>
      </c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AA112" s="45" t="str">
        <f t="shared" si="1"/>
        <v/>
      </c>
    </row>
    <row r="113" spans="1:27" ht="14.25" customHeight="1">
      <c r="A113" s="42" t="s">
        <v>182</v>
      </c>
      <c r="B113" s="42" t="s">
        <v>22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AA113" s="45" t="str">
        <f t="shared" si="1"/>
        <v/>
      </c>
    </row>
    <row r="114" spans="1:27" ht="14.25" customHeight="1">
      <c r="A114" s="46" t="s">
        <v>183</v>
      </c>
      <c r="B114" s="46" t="s">
        <v>22</v>
      </c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AA114" s="45" t="str">
        <f t="shared" si="1"/>
        <v/>
      </c>
    </row>
    <row r="115" spans="1:27" ht="14.25" customHeight="1">
      <c r="A115" s="42" t="s">
        <v>184</v>
      </c>
      <c r="B115" s="42" t="s">
        <v>22</v>
      </c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AA115" s="45" t="str">
        <f t="shared" si="1"/>
        <v/>
      </c>
    </row>
    <row r="116" spans="1:27" ht="14.25" customHeight="1">
      <c r="A116" s="46" t="s">
        <v>185</v>
      </c>
      <c r="B116" s="46" t="s">
        <v>22</v>
      </c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AA116" s="45" t="str">
        <f t="shared" si="1"/>
        <v/>
      </c>
    </row>
    <row r="117" spans="1:27" ht="14.25" customHeight="1">
      <c r="A117" s="42" t="s">
        <v>186</v>
      </c>
      <c r="B117" s="42" t="s">
        <v>22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AA117" s="45" t="str">
        <f t="shared" si="1"/>
        <v/>
      </c>
    </row>
    <row r="118" spans="1:27" ht="14.25" customHeight="1">
      <c r="A118" s="46" t="s">
        <v>187</v>
      </c>
      <c r="B118" s="46" t="s">
        <v>22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AA118" s="45" t="str">
        <f t="shared" si="1"/>
        <v/>
      </c>
    </row>
    <row r="119" spans="1:27" ht="14.25" customHeight="1">
      <c r="A119" s="42" t="s">
        <v>188</v>
      </c>
      <c r="B119" s="42" t="s">
        <v>22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AA119" s="45" t="str">
        <f t="shared" si="1"/>
        <v/>
      </c>
    </row>
    <row r="120" spans="1:27" ht="14.25" customHeight="1">
      <c r="A120" s="46" t="s">
        <v>189</v>
      </c>
      <c r="B120" s="46" t="s">
        <v>22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AA120" s="45" t="str">
        <f t="shared" si="1"/>
        <v/>
      </c>
    </row>
    <row r="121" spans="1:27" ht="14.25" customHeight="1">
      <c r="A121" s="42" t="s">
        <v>190</v>
      </c>
      <c r="B121" s="42" t="s">
        <v>22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AA121" s="45" t="str">
        <f t="shared" si="1"/>
        <v/>
      </c>
    </row>
    <row r="122" spans="1:27" ht="14.25" customHeight="1">
      <c r="A122" s="46" t="s">
        <v>191</v>
      </c>
      <c r="B122" s="46" t="s">
        <v>22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AA122" s="45" t="str">
        <f t="shared" si="1"/>
        <v/>
      </c>
    </row>
    <row r="123" spans="1:27" ht="14.25" customHeight="1">
      <c r="A123" s="42" t="s">
        <v>192</v>
      </c>
      <c r="B123" s="42" t="s">
        <v>22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AA123" s="45" t="str">
        <f t="shared" si="1"/>
        <v/>
      </c>
    </row>
    <row r="124" spans="1:27" ht="14.25" customHeight="1">
      <c r="A124" s="46" t="s">
        <v>193</v>
      </c>
      <c r="B124" s="46" t="s">
        <v>22</v>
      </c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AA124" s="45" t="str">
        <f t="shared" si="1"/>
        <v/>
      </c>
    </row>
    <row r="125" spans="1:27" ht="14.25" customHeight="1">
      <c r="A125" s="42" t="s">
        <v>194</v>
      </c>
      <c r="B125" s="42" t="s">
        <v>22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AA125" s="45" t="str">
        <f t="shared" si="1"/>
        <v/>
      </c>
    </row>
    <row r="126" spans="1:27" ht="14.25" customHeight="1">
      <c r="A126" s="46" t="s">
        <v>195</v>
      </c>
      <c r="B126" s="46" t="s">
        <v>22</v>
      </c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AA126" s="45" t="str">
        <f t="shared" si="1"/>
        <v/>
      </c>
    </row>
    <row r="127" spans="1:27" ht="14.25" customHeight="1">
      <c r="A127" s="42" t="s">
        <v>196</v>
      </c>
      <c r="B127" s="42" t="s">
        <v>22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AA127" s="45" t="str">
        <f t="shared" si="1"/>
        <v/>
      </c>
    </row>
    <row r="128" spans="1:27" ht="14.25" customHeight="1">
      <c r="A128" s="46" t="s">
        <v>197</v>
      </c>
      <c r="B128" s="46" t="s">
        <v>22</v>
      </c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AA128" s="45" t="str">
        <f t="shared" si="1"/>
        <v/>
      </c>
    </row>
    <row r="129" spans="1:27" ht="14.25" customHeight="1">
      <c r="A129" s="42" t="s">
        <v>198</v>
      </c>
      <c r="B129" s="42" t="s">
        <v>22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AA129" s="45" t="str">
        <f t="shared" si="1"/>
        <v/>
      </c>
    </row>
    <row r="130" spans="1:27" ht="14.25" customHeight="1">
      <c r="A130" s="46" t="s">
        <v>199</v>
      </c>
      <c r="B130" s="46" t="s">
        <v>22</v>
      </c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AA130" s="45" t="str">
        <f t="shared" si="1"/>
        <v/>
      </c>
    </row>
    <row r="131" spans="1:27" ht="14.25" customHeight="1">
      <c r="A131" s="42" t="s">
        <v>200</v>
      </c>
      <c r="B131" s="42" t="s">
        <v>23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AA131" s="45" t="str">
        <f t="shared" ref="AA131:AA194" si="2">IF(COUNT(C131:Y131)=0,"",SUM(C131:Y131))</f>
        <v/>
      </c>
    </row>
    <row r="132" spans="1:27" ht="14.25" customHeight="1">
      <c r="A132" s="46" t="s">
        <v>201</v>
      </c>
      <c r="B132" s="46" t="s">
        <v>23</v>
      </c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AA132" s="45" t="str">
        <f t="shared" si="2"/>
        <v/>
      </c>
    </row>
    <row r="133" spans="1:27" ht="14.25" customHeight="1">
      <c r="A133" s="42" t="s">
        <v>202</v>
      </c>
      <c r="B133" s="42" t="s">
        <v>23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AA133" s="45" t="str">
        <f t="shared" si="2"/>
        <v/>
      </c>
    </row>
    <row r="134" spans="1:27" ht="14.25" customHeight="1">
      <c r="A134" s="46" t="s">
        <v>203</v>
      </c>
      <c r="B134" s="46" t="s">
        <v>23</v>
      </c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AA134" s="45" t="str">
        <f t="shared" si="2"/>
        <v/>
      </c>
    </row>
    <row r="135" spans="1:27" ht="14.25" customHeight="1">
      <c r="A135" s="42" t="s">
        <v>204</v>
      </c>
      <c r="B135" s="42" t="s">
        <v>23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AA135" s="45" t="str">
        <f t="shared" si="2"/>
        <v/>
      </c>
    </row>
    <row r="136" spans="1:27" ht="14.25" customHeight="1">
      <c r="A136" s="46" t="s">
        <v>205</v>
      </c>
      <c r="B136" s="46" t="s">
        <v>23</v>
      </c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AA136" s="45" t="str">
        <f t="shared" si="2"/>
        <v/>
      </c>
    </row>
    <row r="137" spans="1:27" ht="14.25" customHeight="1">
      <c r="A137" s="42" t="s">
        <v>206</v>
      </c>
      <c r="B137" s="42" t="s">
        <v>23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AA137" s="45" t="str">
        <f t="shared" si="2"/>
        <v/>
      </c>
    </row>
    <row r="138" spans="1:27" ht="14.25" customHeight="1">
      <c r="A138" s="46" t="s">
        <v>207</v>
      </c>
      <c r="B138" s="46" t="s">
        <v>23</v>
      </c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AA138" s="45" t="str">
        <f t="shared" si="2"/>
        <v/>
      </c>
    </row>
    <row r="139" spans="1:27" ht="14.25" customHeight="1">
      <c r="A139" s="42" t="s">
        <v>208</v>
      </c>
      <c r="B139" s="42" t="s">
        <v>23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AA139" s="45" t="str">
        <f t="shared" si="2"/>
        <v/>
      </c>
    </row>
    <row r="140" spans="1:27" ht="14.25" customHeight="1">
      <c r="A140" s="46" t="s">
        <v>209</v>
      </c>
      <c r="B140" s="46" t="s">
        <v>23</v>
      </c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AA140" s="45" t="str">
        <f t="shared" si="2"/>
        <v/>
      </c>
    </row>
    <row r="141" spans="1:27" ht="14.25" customHeight="1">
      <c r="A141" s="42" t="s">
        <v>210</v>
      </c>
      <c r="B141" s="42" t="s">
        <v>23</v>
      </c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AA141" s="45" t="str">
        <f t="shared" si="2"/>
        <v/>
      </c>
    </row>
    <row r="142" spans="1:27" ht="14.25" customHeight="1">
      <c r="A142" s="46" t="s">
        <v>211</v>
      </c>
      <c r="B142" s="46" t="s">
        <v>23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AA142" s="45" t="str">
        <f t="shared" si="2"/>
        <v/>
      </c>
    </row>
    <row r="143" spans="1:27" ht="14.25" customHeight="1">
      <c r="A143" s="42" t="s">
        <v>212</v>
      </c>
      <c r="B143" s="42" t="s">
        <v>23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AA143" s="45" t="str">
        <f t="shared" si="2"/>
        <v/>
      </c>
    </row>
    <row r="144" spans="1:27" ht="14.25" customHeight="1">
      <c r="A144" s="46" t="s">
        <v>213</v>
      </c>
      <c r="B144" s="46" t="s">
        <v>23</v>
      </c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AA144" s="45" t="str">
        <f t="shared" si="2"/>
        <v/>
      </c>
    </row>
    <row r="145" spans="1:27" ht="14.25" customHeight="1">
      <c r="A145" s="42" t="s">
        <v>214</v>
      </c>
      <c r="B145" s="42" t="s">
        <v>23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AA145" s="45" t="str">
        <f t="shared" si="2"/>
        <v/>
      </c>
    </row>
    <row r="146" spans="1:27" ht="14.25" customHeight="1">
      <c r="A146" s="46" t="s">
        <v>215</v>
      </c>
      <c r="B146" s="46" t="s">
        <v>23</v>
      </c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AA146" s="45" t="str">
        <f t="shared" si="2"/>
        <v/>
      </c>
    </row>
    <row r="147" spans="1:27" ht="14.25" customHeight="1">
      <c r="A147" s="42" t="s">
        <v>216</v>
      </c>
      <c r="B147" s="42" t="s">
        <v>23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AA147" s="45" t="str">
        <f t="shared" si="2"/>
        <v/>
      </c>
    </row>
    <row r="148" spans="1:27" ht="14.25" customHeight="1">
      <c r="A148" s="46" t="s">
        <v>217</v>
      </c>
      <c r="B148" s="46" t="s">
        <v>23</v>
      </c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AA148" s="45" t="str">
        <f t="shared" si="2"/>
        <v/>
      </c>
    </row>
    <row r="149" spans="1:27" ht="14.25" customHeight="1">
      <c r="A149" s="42" t="s">
        <v>218</v>
      </c>
      <c r="B149" s="42" t="s">
        <v>23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AA149" s="45" t="str">
        <f t="shared" si="2"/>
        <v/>
      </c>
    </row>
    <row r="150" spans="1:27" ht="14.25" customHeight="1">
      <c r="A150" s="46" t="s">
        <v>219</v>
      </c>
      <c r="B150" s="46" t="s">
        <v>23</v>
      </c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AA150" s="45" t="str">
        <f t="shared" si="2"/>
        <v/>
      </c>
    </row>
    <row r="151" spans="1:27" ht="14.25" customHeight="1">
      <c r="A151" s="42" t="s">
        <v>220</v>
      </c>
      <c r="B151" s="42" t="s">
        <v>23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AA151" s="45" t="str">
        <f t="shared" si="2"/>
        <v/>
      </c>
    </row>
    <row r="152" spans="1:27" ht="14.25" customHeight="1">
      <c r="A152" s="46" t="s">
        <v>221</v>
      </c>
      <c r="B152" s="46" t="s">
        <v>23</v>
      </c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AA152" s="45" t="str">
        <f t="shared" si="2"/>
        <v/>
      </c>
    </row>
    <row r="153" spans="1:27" ht="14.25" customHeight="1">
      <c r="A153" s="42" t="s">
        <v>222</v>
      </c>
      <c r="B153" s="42" t="s">
        <v>24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AA153" s="45" t="str">
        <f t="shared" si="2"/>
        <v/>
      </c>
    </row>
    <row r="154" spans="1:27" ht="14.25" customHeight="1">
      <c r="A154" s="46" t="s">
        <v>223</v>
      </c>
      <c r="B154" s="46" t="s">
        <v>24</v>
      </c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AA154" s="45" t="str">
        <f t="shared" si="2"/>
        <v/>
      </c>
    </row>
    <row r="155" spans="1:27" ht="14.25" customHeight="1">
      <c r="A155" s="42" t="s">
        <v>224</v>
      </c>
      <c r="B155" s="42" t="s">
        <v>24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AA155" s="45" t="str">
        <f t="shared" si="2"/>
        <v/>
      </c>
    </row>
    <row r="156" spans="1:27" ht="14.25" customHeight="1">
      <c r="A156" s="46" t="s">
        <v>225</v>
      </c>
      <c r="B156" s="46" t="s">
        <v>24</v>
      </c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AA156" s="45" t="str">
        <f t="shared" si="2"/>
        <v/>
      </c>
    </row>
    <row r="157" spans="1:27" ht="14.25" customHeight="1">
      <c r="A157" s="42" t="s">
        <v>226</v>
      </c>
      <c r="B157" s="42" t="s">
        <v>24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AA157" s="45" t="str">
        <f t="shared" si="2"/>
        <v/>
      </c>
    </row>
    <row r="158" spans="1:27" ht="14.25" customHeight="1">
      <c r="A158" s="46" t="s">
        <v>227</v>
      </c>
      <c r="B158" s="46" t="s">
        <v>24</v>
      </c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AA158" s="45" t="str">
        <f t="shared" si="2"/>
        <v/>
      </c>
    </row>
    <row r="159" spans="1:27" ht="14.25" customHeight="1">
      <c r="A159" s="42" t="s">
        <v>228</v>
      </c>
      <c r="B159" s="42" t="s">
        <v>24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AA159" s="45" t="str">
        <f t="shared" si="2"/>
        <v/>
      </c>
    </row>
    <row r="160" spans="1:27" ht="14.25" customHeight="1">
      <c r="A160" s="46" t="s">
        <v>229</v>
      </c>
      <c r="B160" s="46" t="s">
        <v>24</v>
      </c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AA160" s="45" t="str">
        <f t="shared" si="2"/>
        <v/>
      </c>
    </row>
    <row r="161" spans="1:27" ht="14.25" customHeight="1">
      <c r="A161" s="42" t="s">
        <v>230</v>
      </c>
      <c r="B161" s="42" t="s">
        <v>24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AA161" s="45" t="str">
        <f t="shared" si="2"/>
        <v/>
      </c>
    </row>
    <row r="162" spans="1:27" ht="14.25" customHeight="1">
      <c r="A162" s="46" t="s">
        <v>231</v>
      </c>
      <c r="B162" s="46" t="s">
        <v>24</v>
      </c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AA162" s="45" t="str">
        <f t="shared" si="2"/>
        <v/>
      </c>
    </row>
    <row r="163" spans="1:27" ht="14.25" customHeight="1">
      <c r="A163" s="42" t="s">
        <v>232</v>
      </c>
      <c r="B163" s="42" t="s">
        <v>24</v>
      </c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AA163" s="45" t="str">
        <f t="shared" si="2"/>
        <v/>
      </c>
    </row>
    <row r="164" spans="1:27" ht="14.25" customHeight="1">
      <c r="A164" s="46" t="s">
        <v>233</v>
      </c>
      <c r="B164" s="46" t="s">
        <v>24</v>
      </c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AA164" s="45" t="str">
        <f t="shared" si="2"/>
        <v/>
      </c>
    </row>
    <row r="165" spans="1:27" ht="14.25" customHeight="1">
      <c r="A165" s="42" t="s">
        <v>234</v>
      </c>
      <c r="B165" s="42" t="s">
        <v>24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AA165" s="45" t="str">
        <f t="shared" si="2"/>
        <v/>
      </c>
    </row>
    <row r="166" spans="1:27" ht="14.25" customHeight="1">
      <c r="A166" s="46" t="s">
        <v>235</v>
      </c>
      <c r="B166" s="46" t="s">
        <v>24</v>
      </c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AA166" s="45" t="str">
        <f t="shared" si="2"/>
        <v/>
      </c>
    </row>
    <row r="167" spans="1:27" ht="14.25" customHeight="1">
      <c r="A167" s="42" t="s">
        <v>236</v>
      </c>
      <c r="B167" s="42" t="s">
        <v>24</v>
      </c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AA167" s="45" t="str">
        <f t="shared" si="2"/>
        <v/>
      </c>
    </row>
    <row r="168" spans="1:27" ht="14.25" customHeight="1">
      <c r="A168" s="46" t="s">
        <v>237</v>
      </c>
      <c r="B168" s="46" t="s">
        <v>24</v>
      </c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AA168" s="45" t="str">
        <f t="shared" si="2"/>
        <v/>
      </c>
    </row>
    <row r="169" spans="1:27" ht="14.25" customHeight="1">
      <c r="A169" s="42" t="s">
        <v>238</v>
      </c>
      <c r="B169" s="42" t="s">
        <v>24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AA169" s="45" t="str">
        <f t="shared" si="2"/>
        <v/>
      </c>
    </row>
    <row r="170" spans="1:27" ht="14.25" customHeight="1">
      <c r="A170" s="46" t="s">
        <v>239</v>
      </c>
      <c r="B170" s="46" t="s">
        <v>24</v>
      </c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AA170" s="45" t="str">
        <f t="shared" si="2"/>
        <v/>
      </c>
    </row>
    <row r="171" spans="1:27" ht="14.25" customHeight="1">
      <c r="A171" s="42" t="s">
        <v>240</v>
      </c>
      <c r="B171" s="42" t="s">
        <v>24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AA171" s="45" t="str">
        <f t="shared" si="2"/>
        <v/>
      </c>
    </row>
    <row r="172" spans="1:27" ht="14.25" customHeight="1">
      <c r="A172" s="46" t="s">
        <v>241</v>
      </c>
      <c r="B172" s="46" t="s">
        <v>24</v>
      </c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AA172" s="45" t="str">
        <f t="shared" si="2"/>
        <v/>
      </c>
    </row>
    <row r="173" spans="1:27" ht="14.25" customHeight="1">
      <c r="A173" s="42" t="s">
        <v>242</v>
      </c>
      <c r="B173" s="42" t="s">
        <v>24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AA173" s="45" t="str">
        <f t="shared" si="2"/>
        <v/>
      </c>
    </row>
    <row r="174" spans="1:27" ht="14.25" customHeight="1">
      <c r="A174" s="46" t="s">
        <v>243</v>
      </c>
      <c r="B174" s="46" t="s">
        <v>24</v>
      </c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AA174" s="45" t="str">
        <f t="shared" si="2"/>
        <v/>
      </c>
    </row>
    <row r="175" spans="1:27" ht="14.25" customHeight="1">
      <c r="A175" s="42" t="s">
        <v>244</v>
      </c>
      <c r="B175" s="42" t="s">
        <v>24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AA175" s="45" t="str">
        <f t="shared" si="2"/>
        <v/>
      </c>
    </row>
    <row r="176" spans="1:27" ht="14.25" customHeight="1">
      <c r="A176" s="46" t="s">
        <v>245</v>
      </c>
      <c r="B176" s="46" t="s">
        <v>25</v>
      </c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AA176" s="45" t="str">
        <f t="shared" si="2"/>
        <v/>
      </c>
    </row>
    <row r="177" spans="1:27" ht="14.25" customHeight="1">
      <c r="A177" s="42" t="s">
        <v>246</v>
      </c>
      <c r="B177" s="42" t="s">
        <v>25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AA177" s="45" t="str">
        <f t="shared" si="2"/>
        <v/>
      </c>
    </row>
    <row r="178" spans="1:27" ht="14.25" customHeight="1">
      <c r="A178" s="46" t="s">
        <v>247</v>
      </c>
      <c r="B178" s="46" t="s">
        <v>25</v>
      </c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AA178" s="45" t="str">
        <f t="shared" si="2"/>
        <v/>
      </c>
    </row>
    <row r="179" spans="1:27" ht="14.25" customHeight="1">
      <c r="A179" s="42" t="s">
        <v>248</v>
      </c>
      <c r="B179" s="42" t="s">
        <v>25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AA179" s="45" t="str">
        <f t="shared" si="2"/>
        <v/>
      </c>
    </row>
    <row r="180" spans="1:27" ht="14.25" customHeight="1">
      <c r="A180" s="46" t="s">
        <v>249</v>
      </c>
      <c r="B180" s="46" t="s">
        <v>25</v>
      </c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AA180" s="45" t="str">
        <f t="shared" si="2"/>
        <v/>
      </c>
    </row>
    <row r="181" spans="1:27" ht="14.25" customHeight="1">
      <c r="A181" s="42" t="s">
        <v>250</v>
      </c>
      <c r="B181" s="42" t="s">
        <v>25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AA181" s="45" t="str">
        <f t="shared" si="2"/>
        <v/>
      </c>
    </row>
    <row r="182" spans="1:27" ht="14.25" customHeight="1">
      <c r="A182" s="46" t="s">
        <v>251</v>
      </c>
      <c r="B182" s="46" t="s">
        <v>25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AA182" s="45" t="str">
        <f t="shared" si="2"/>
        <v/>
      </c>
    </row>
    <row r="183" spans="1:27" ht="14.25" customHeight="1">
      <c r="A183" s="42" t="s">
        <v>252</v>
      </c>
      <c r="B183" s="42" t="s">
        <v>25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AA183" s="45" t="str">
        <f t="shared" si="2"/>
        <v/>
      </c>
    </row>
    <row r="184" spans="1:27" ht="14.25" customHeight="1">
      <c r="A184" s="46" t="s">
        <v>253</v>
      </c>
      <c r="B184" s="46" t="s">
        <v>25</v>
      </c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AA184" s="45" t="str">
        <f t="shared" si="2"/>
        <v/>
      </c>
    </row>
    <row r="185" spans="1:27" ht="14.25" customHeight="1">
      <c r="A185" s="42" t="s">
        <v>254</v>
      </c>
      <c r="B185" s="42" t="s">
        <v>25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AA185" s="45" t="str">
        <f t="shared" si="2"/>
        <v/>
      </c>
    </row>
    <row r="186" spans="1:27" ht="14.25" customHeight="1">
      <c r="A186" s="46" t="s">
        <v>255</v>
      </c>
      <c r="B186" s="46" t="s">
        <v>25</v>
      </c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AA186" s="45" t="str">
        <f t="shared" si="2"/>
        <v/>
      </c>
    </row>
    <row r="187" spans="1:27" ht="14.25" customHeight="1">
      <c r="A187" s="42" t="s">
        <v>256</v>
      </c>
      <c r="B187" s="42" t="s">
        <v>25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AA187" s="45" t="str">
        <f t="shared" si="2"/>
        <v/>
      </c>
    </row>
    <row r="188" spans="1:27" ht="14.25" customHeight="1">
      <c r="A188" s="46" t="s">
        <v>257</v>
      </c>
      <c r="B188" s="46" t="s">
        <v>25</v>
      </c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AA188" s="45" t="str">
        <f t="shared" si="2"/>
        <v/>
      </c>
    </row>
    <row r="189" spans="1:27" ht="14.25" customHeight="1">
      <c r="A189" s="42" t="s">
        <v>258</v>
      </c>
      <c r="B189" s="42" t="s">
        <v>25</v>
      </c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AA189" s="45" t="str">
        <f t="shared" si="2"/>
        <v/>
      </c>
    </row>
    <row r="190" spans="1:27" ht="14.25" customHeight="1">
      <c r="A190" s="46" t="s">
        <v>259</v>
      </c>
      <c r="B190" s="46" t="s">
        <v>25</v>
      </c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AA190" s="45" t="str">
        <f t="shared" si="2"/>
        <v/>
      </c>
    </row>
    <row r="191" spans="1:27" ht="14.25" customHeight="1">
      <c r="A191" s="42" t="s">
        <v>260</v>
      </c>
      <c r="B191" s="42" t="s">
        <v>25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AA191" s="45" t="str">
        <f t="shared" si="2"/>
        <v/>
      </c>
    </row>
    <row r="192" spans="1:27" ht="14.25" customHeight="1">
      <c r="A192" s="46" t="s">
        <v>261</v>
      </c>
      <c r="B192" s="46" t="s">
        <v>25</v>
      </c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AA192" s="45" t="str">
        <f t="shared" si="2"/>
        <v/>
      </c>
    </row>
    <row r="193" spans="1:27" ht="14.25" customHeight="1">
      <c r="A193" s="42" t="s">
        <v>262</v>
      </c>
      <c r="B193" s="42" t="s">
        <v>25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AA193" s="45" t="str">
        <f t="shared" si="2"/>
        <v/>
      </c>
    </row>
    <row r="194" spans="1:27" ht="14.25" customHeight="1">
      <c r="A194" s="46" t="s">
        <v>263</v>
      </c>
      <c r="B194" s="46" t="s">
        <v>25</v>
      </c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AA194" s="45" t="str">
        <f t="shared" si="2"/>
        <v/>
      </c>
    </row>
    <row r="195" spans="1:27" ht="14.25" customHeight="1">
      <c r="A195" s="42" t="s">
        <v>264</v>
      </c>
      <c r="B195" s="42" t="s">
        <v>25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AA195" s="45" t="str">
        <f t="shared" ref="AA195:AA222" si="3">IF(COUNT(C195:Y195)=0,"",SUM(C195:Y195))</f>
        <v/>
      </c>
    </row>
    <row r="196" spans="1:27" ht="14.25" customHeight="1">
      <c r="A196" s="46" t="s">
        <v>265</v>
      </c>
      <c r="B196" s="46" t="s">
        <v>25</v>
      </c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AA196" s="45" t="str">
        <f t="shared" si="3"/>
        <v/>
      </c>
    </row>
    <row r="197" spans="1:27" ht="14.25" customHeight="1">
      <c r="A197" s="42" t="s">
        <v>266</v>
      </c>
      <c r="B197" s="42" t="s">
        <v>26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AA197" s="45" t="str">
        <f t="shared" si="3"/>
        <v/>
      </c>
    </row>
    <row r="198" spans="1:27" ht="14.25" customHeight="1">
      <c r="A198" s="46" t="s">
        <v>267</v>
      </c>
      <c r="B198" s="46" t="s">
        <v>26</v>
      </c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AA198" s="45" t="str">
        <f t="shared" si="3"/>
        <v/>
      </c>
    </row>
    <row r="199" spans="1:27" ht="14.25" customHeight="1">
      <c r="A199" s="42" t="s">
        <v>268</v>
      </c>
      <c r="B199" s="42" t="s">
        <v>26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AA199" s="45" t="str">
        <f t="shared" si="3"/>
        <v/>
      </c>
    </row>
    <row r="200" spans="1:27" ht="14.25" customHeight="1">
      <c r="A200" s="46" t="s">
        <v>269</v>
      </c>
      <c r="B200" s="46" t="s">
        <v>26</v>
      </c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AA200" s="45" t="str">
        <f t="shared" si="3"/>
        <v/>
      </c>
    </row>
    <row r="201" spans="1:27" ht="14.25" customHeight="1">
      <c r="A201" s="42" t="s">
        <v>270</v>
      </c>
      <c r="B201" s="42" t="s">
        <v>26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AA201" s="45" t="str">
        <f t="shared" si="3"/>
        <v/>
      </c>
    </row>
    <row r="202" spans="1:27" ht="14.25" customHeight="1">
      <c r="A202" s="46" t="s">
        <v>271</v>
      </c>
      <c r="B202" s="46" t="s">
        <v>26</v>
      </c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AA202" s="45" t="str">
        <f t="shared" si="3"/>
        <v/>
      </c>
    </row>
    <row r="203" spans="1:27" ht="14.25" customHeight="1">
      <c r="A203" s="42" t="s">
        <v>272</v>
      </c>
      <c r="B203" s="42" t="s">
        <v>26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AA203" s="45" t="str">
        <f t="shared" si="3"/>
        <v/>
      </c>
    </row>
    <row r="204" spans="1:27" ht="14.25" customHeight="1">
      <c r="A204" s="46" t="s">
        <v>273</v>
      </c>
      <c r="B204" s="46" t="s">
        <v>26</v>
      </c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AA204" s="45" t="str">
        <f t="shared" si="3"/>
        <v/>
      </c>
    </row>
    <row r="205" spans="1:27" ht="14.25" customHeight="1">
      <c r="A205" s="42" t="s">
        <v>274</v>
      </c>
      <c r="B205" s="42" t="s">
        <v>26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AA205" s="45" t="str">
        <f t="shared" si="3"/>
        <v/>
      </c>
    </row>
    <row r="206" spans="1:27" ht="14.25" customHeight="1">
      <c r="A206" s="46" t="s">
        <v>275</v>
      </c>
      <c r="B206" s="46" t="s">
        <v>26</v>
      </c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AA206" s="45" t="str">
        <f t="shared" si="3"/>
        <v/>
      </c>
    </row>
    <row r="207" spans="1:27" ht="14.25" customHeight="1">
      <c r="A207" s="42" t="s">
        <v>276</v>
      </c>
      <c r="B207" s="42" t="s">
        <v>26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AA207" s="45" t="str">
        <f t="shared" si="3"/>
        <v/>
      </c>
    </row>
    <row r="208" spans="1:27" ht="14.25" customHeight="1">
      <c r="A208" s="46" t="s">
        <v>277</v>
      </c>
      <c r="B208" s="46" t="s">
        <v>26</v>
      </c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AA208" s="45" t="str">
        <f t="shared" si="3"/>
        <v/>
      </c>
    </row>
    <row r="209" spans="1:27" ht="14.25" customHeight="1">
      <c r="A209" s="42" t="s">
        <v>278</v>
      </c>
      <c r="B209" s="42" t="s">
        <v>26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AA209" s="45" t="str">
        <f t="shared" si="3"/>
        <v/>
      </c>
    </row>
    <row r="210" spans="1:27" ht="14.25" customHeight="1">
      <c r="A210" s="46" t="s">
        <v>279</v>
      </c>
      <c r="B210" s="46" t="s">
        <v>26</v>
      </c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AA210" s="45" t="str">
        <f t="shared" si="3"/>
        <v/>
      </c>
    </row>
    <row r="211" spans="1:27" ht="14.25" customHeight="1">
      <c r="A211" s="42" t="s">
        <v>280</v>
      </c>
      <c r="B211" s="42" t="s">
        <v>26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AA211" s="45" t="str">
        <f t="shared" si="3"/>
        <v/>
      </c>
    </row>
    <row r="212" spans="1:27" ht="14.25" customHeight="1">
      <c r="A212" s="46" t="s">
        <v>281</v>
      </c>
      <c r="B212" s="46" t="s">
        <v>26</v>
      </c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AA212" s="45" t="str">
        <f t="shared" si="3"/>
        <v/>
      </c>
    </row>
    <row r="213" spans="1:27" ht="14.25" customHeight="1">
      <c r="A213" s="42" t="s">
        <v>282</v>
      </c>
      <c r="B213" s="42" t="s">
        <v>26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AA213" s="45" t="str">
        <f t="shared" si="3"/>
        <v/>
      </c>
    </row>
    <row r="214" spans="1:27" ht="14.25" customHeight="1">
      <c r="A214" s="46" t="s">
        <v>283</v>
      </c>
      <c r="B214" s="46" t="s">
        <v>26</v>
      </c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AA214" s="45" t="str">
        <f t="shared" si="3"/>
        <v/>
      </c>
    </row>
    <row r="215" spans="1:27" ht="14.25" customHeight="1">
      <c r="A215" s="42" t="s">
        <v>284</v>
      </c>
      <c r="B215" s="42" t="s">
        <v>26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AA215" s="45" t="str">
        <f t="shared" si="3"/>
        <v/>
      </c>
    </row>
    <row r="216" spans="1:27" ht="14.25" customHeight="1">
      <c r="A216" s="46" t="s">
        <v>285</v>
      </c>
      <c r="B216" s="46" t="s">
        <v>26</v>
      </c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AA216" s="45" t="str">
        <f t="shared" si="3"/>
        <v/>
      </c>
    </row>
    <row r="217" spans="1:27" ht="14.25" customHeight="1">
      <c r="A217" s="42" t="s">
        <v>286</v>
      </c>
      <c r="B217" s="42" t="s">
        <v>28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AA217" s="45" t="str">
        <f t="shared" si="3"/>
        <v/>
      </c>
    </row>
    <row r="218" spans="1:27" ht="14.25" customHeight="1">
      <c r="A218" s="46" t="s">
        <v>287</v>
      </c>
      <c r="B218" s="46" t="s">
        <v>28</v>
      </c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AA218" s="45" t="str">
        <f t="shared" si="3"/>
        <v/>
      </c>
    </row>
    <row r="219" spans="1:27" ht="14.25" customHeight="1">
      <c r="A219" s="42" t="s">
        <v>288</v>
      </c>
      <c r="B219" s="42" t="s">
        <v>28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AA219" s="45" t="str">
        <f t="shared" si="3"/>
        <v/>
      </c>
    </row>
    <row r="220" spans="1:27" ht="14.25" customHeight="1">
      <c r="A220" s="46" t="s">
        <v>289</v>
      </c>
      <c r="B220" s="46" t="s">
        <v>28</v>
      </c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AA220" s="45" t="str">
        <f t="shared" si="3"/>
        <v/>
      </c>
    </row>
    <row r="221" spans="1:27" ht="14.25" customHeight="1">
      <c r="A221" s="42" t="s">
        <v>290</v>
      </c>
      <c r="B221" s="42" t="s">
        <v>28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AA221" s="45" t="str">
        <f t="shared" si="3"/>
        <v/>
      </c>
    </row>
    <row r="222" spans="1:27" ht="14.25" customHeight="1">
      <c r="A222" s="46" t="s">
        <v>291</v>
      </c>
      <c r="B222" s="46" t="s">
        <v>28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AA222" s="45" t="str">
        <f t="shared" si="3"/>
        <v/>
      </c>
    </row>
    <row r="223" spans="1:27" ht="14.2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</row>
  </sheetData>
  <mergeCells count="3">
    <mergeCell ref="A1:A2"/>
    <mergeCell ref="B1:B2"/>
    <mergeCell ref="C1:R1"/>
  </mergeCells>
  <pageMargins left="0.7" right="0.7" top="0.75" bottom="0.75" header="0.511811023622047" footer="0.511811023622047"/>
  <pageSetup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3">
        <x14:dataValidation type="custom" errorStyle="warning" allowBlank="1" showErrorMessage="1" errorTitle="تنبيه" error="الدرجة المدخلة خارج نطاق الدرجة الكلية لهذا السؤال." xr:uid="{00000000-0002-0000-0200-000000000000}">
          <x14:formula1>
            <xm:f>OR(المهارات!$G$2="",AND(C3&gt;=0,C3&lt;=المهارات!$G$2))</xm:f>
          </x14:formula1>
          <x14:formula2>
            <xm:f>0</xm:f>
          </x14:formula2>
          <xm:sqref>C3:C222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1000000}">
          <x14:formula1>
            <xm:f>OR(المهارات!$G$3="",AND(D3&gt;=0,D3&lt;=المهارات!$G$3))</xm:f>
          </x14:formula1>
          <x14:formula2>
            <xm:f>0</xm:f>
          </x14:formula2>
          <xm:sqref>D3:D222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2000000}">
          <x14:formula1>
            <xm:f>OR(المهارات!$G$4="",AND(E3&gt;=0,E3&lt;=المهارات!$G$4))</xm:f>
          </x14:formula1>
          <x14:formula2>
            <xm:f>0</xm:f>
          </x14:formula2>
          <xm:sqref>E3:E222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3000000}">
          <x14:formula1>
            <xm:f>OR(المهارات!$G$5="",AND(F3&gt;=0,F3&lt;=المهارات!$G$5))</xm:f>
          </x14:formula1>
          <x14:formula2>
            <xm:f>0</xm:f>
          </x14:formula2>
          <xm:sqref>F3:F222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4000000}">
          <x14:formula1>
            <xm:f>OR(المهارات!$G$6="",AND(G3&gt;=0,G3&lt;=المهارات!$G$6))</xm:f>
          </x14:formula1>
          <x14:formula2>
            <xm:f>0</xm:f>
          </x14:formula2>
          <xm:sqref>G3:G222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5000000}">
          <x14:formula1>
            <xm:f>OR(المهارات!$G$7="",AND(H3&gt;=0,H3&lt;=المهارات!$G$7))</xm:f>
          </x14:formula1>
          <x14:formula2>
            <xm:f>0</xm:f>
          </x14:formula2>
          <xm:sqref>H3:H222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6000000}">
          <x14:formula1>
            <xm:f>OR(المهارات!$G$8="",AND(I3&gt;=0,I3&lt;=المهارات!$G$8))</xm:f>
          </x14:formula1>
          <x14:formula2>
            <xm:f>0</xm:f>
          </x14:formula2>
          <xm:sqref>I3:I222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7000000}">
          <x14:formula1>
            <xm:f>OR(المهارات!$G$9="",AND(J3&gt;=0,J3&lt;=المهارات!$G$9))</xm:f>
          </x14:formula1>
          <x14:formula2>
            <xm:f>0</xm:f>
          </x14:formula2>
          <xm:sqref>J3:J222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8000000}">
          <x14:formula1>
            <xm:f>OR(المهارات!$G$10="",AND(K3&gt;=0,K3&lt;=المهارات!$G$10))</xm:f>
          </x14:formula1>
          <x14:formula2>
            <xm:f>0</xm:f>
          </x14:formula2>
          <xm:sqref>K3:K222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9000000}">
          <x14:formula1>
            <xm:f>OR(المهارات!$G$11="",AND(L3&gt;=0,L3&lt;=المهارات!$G$11))</xm:f>
          </x14:formula1>
          <x14:formula2>
            <xm:f>0</xm:f>
          </x14:formula2>
          <xm:sqref>L3:L222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A000000}">
          <x14:formula1>
            <xm:f>OR(المهارات!$G$12="",AND(M3&gt;=0,M3&lt;=المهارات!$G$12))</xm:f>
          </x14:formula1>
          <x14:formula2>
            <xm:f>0</xm:f>
          </x14:formula2>
          <xm:sqref>M3:M222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B000000}">
          <x14:formula1>
            <xm:f>OR(المهارات!$G$13="",AND(N3&gt;=0,N3&lt;=المهارات!$G$13))</xm:f>
          </x14:formula1>
          <x14:formula2>
            <xm:f>0</xm:f>
          </x14:formula2>
          <xm:sqref>N3:N222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C000000}">
          <x14:formula1>
            <xm:f>OR(المهارات!$G$14="",AND(O3&gt;=0,O3&lt;=المهارات!$G$14))</xm:f>
          </x14:formula1>
          <x14:formula2>
            <xm:f>0</xm:f>
          </x14:formula2>
          <xm:sqref>O3:O222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D000000}">
          <x14:formula1>
            <xm:f>OR(المهارات!$G$15="",AND(P3&gt;=0,P3&lt;=المهارات!$G$15))</xm:f>
          </x14:formula1>
          <x14:formula2>
            <xm:f>0</xm:f>
          </x14:formula2>
          <xm:sqref>P3:P222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E000000}">
          <x14:formula1>
            <xm:f>OR(المهارات!$G$16="",AND(Q3&gt;=0,Q3&lt;=المهارات!$G$16))</xm:f>
          </x14:formula1>
          <x14:formula2>
            <xm:f>0</xm:f>
          </x14:formula2>
          <xm:sqref>Q3:Q222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0F000000}">
          <x14:formula1>
            <xm:f>OR(المهارات!$G$17="",AND(R3&gt;=0,R3&lt;=المهارات!$G$17))</xm:f>
          </x14:formula1>
          <x14:formula2>
            <xm:f>0</xm:f>
          </x14:formula2>
          <xm:sqref>R3:R222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10000000}">
          <x14:formula1>
            <xm:f>OR(المهارات!$G$18="",AND(S3&gt;=0,S3&lt;=المهارات!$G$18))</xm:f>
          </x14:formula1>
          <x14:formula2>
            <xm:f>0</xm:f>
          </x14:formula2>
          <xm:sqref>S3:S222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11000000}">
          <x14:formula1>
            <xm:f>OR(المهارات!$G$19="",AND(T3&gt;=0,T3&lt;=المهارات!$G$19))</xm:f>
          </x14:formula1>
          <x14:formula2>
            <xm:f>0</xm:f>
          </x14:formula2>
          <xm:sqref>T3:T222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12000000}">
          <x14:formula1>
            <xm:f>OR(المهارات!$G$20="",AND(U3&gt;=0,U3&lt;=المهارات!$G$20))</xm:f>
          </x14:formula1>
          <x14:formula2>
            <xm:f>0</xm:f>
          </x14:formula2>
          <xm:sqref>U3:U222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13000000}">
          <x14:formula1>
            <xm:f>OR(المهارات!$G$21="",AND(V3&gt;=0,V3&lt;=المهارات!$G$21))</xm:f>
          </x14:formula1>
          <x14:formula2>
            <xm:f>0</xm:f>
          </x14:formula2>
          <xm:sqref>V3:V222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14000000}">
          <x14:formula1>
            <xm:f>OR(المهارات!$G$22="",AND(W3&gt;=0,W3&lt;=المهارات!$G$22))</xm:f>
          </x14:formula1>
          <x14:formula2>
            <xm:f>0</xm:f>
          </x14:formula2>
          <xm:sqref>W3:W222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15000000}">
          <x14:formula1>
            <xm:f>OR(المهارات!$G$23="",AND(X3&gt;=0,X3&lt;=المهارات!$G$23))</xm:f>
          </x14:formula1>
          <x14:formula2>
            <xm:f>0</xm:f>
          </x14:formula2>
          <xm:sqref>X3:X222</xm:sqref>
        </x14:dataValidation>
        <x14:dataValidation type="custom" errorStyle="warning" allowBlank="1" showErrorMessage="1" errorTitle="تنبيه" error="الدرجة المدخلة خارج نطاق الدرجة الكلية لهذا السؤال." xr:uid="{00000000-0002-0000-0200-000016000000}">
          <x14:formula1>
            <xm:f>OR(المهارات!$G$24="",AND(Y3&gt;=0,Y3&lt;=المهارات!$G$24))</xm:f>
          </x14:formula1>
          <x14:formula2>
            <xm:f>0</xm:f>
          </x14:formula2>
          <xm:sqref>Y3:Y222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23"/>
  <sheetViews>
    <sheetView rightToLeft="1" zoomScaleNormal="100" workbookViewId="0">
      <pane xSplit="3" ySplit="2" topLeftCell="F205" activePane="bottomRight" state="frozen"/>
      <selection sqref="A1:A2"/>
      <selection pane="topRight" sqref="A1:A2"/>
      <selection pane="bottomLeft" sqref="A1:A2"/>
      <selection pane="bottomRight" activeCell="D3" sqref="D3:N223"/>
    </sheetView>
  </sheetViews>
  <sheetFormatPr defaultColWidth="8.54296875" defaultRowHeight="14.5"/>
  <cols>
    <col min="1" max="1" width="30.36328125" customWidth="1"/>
    <col min="4" max="14" width="13" customWidth="1"/>
    <col min="15" max="23" width="13" hidden="1" customWidth="1"/>
  </cols>
  <sheetData>
    <row r="1" spans="1:24" ht="14.25" customHeight="1">
      <c r="A1" s="10" t="s">
        <v>68</v>
      </c>
      <c r="B1" s="10" t="s">
        <v>69</v>
      </c>
      <c r="C1" s="10" t="s">
        <v>292</v>
      </c>
      <c r="D1" s="2" t="s">
        <v>293</v>
      </c>
      <c r="E1" s="2"/>
      <c r="F1" s="2"/>
      <c r="G1" s="2"/>
      <c r="H1" s="2"/>
      <c r="I1" s="2"/>
      <c r="J1" s="2"/>
      <c r="K1" s="2"/>
      <c r="L1" s="2"/>
      <c r="M1" s="2"/>
      <c r="N1" s="2"/>
      <c r="W1" s="1" t="s">
        <v>10</v>
      </c>
      <c r="X1" s="48" t="s">
        <v>294</v>
      </c>
    </row>
    <row r="2" spans="1:24" ht="14.25" customHeight="1">
      <c r="A2" s="10"/>
      <c r="B2" s="10"/>
      <c r="C2" s="10"/>
      <c r="D2" s="49" t="str">
        <f>IF(المهارات!$A2="","",المهارات!$A2)</f>
        <v/>
      </c>
      <c r="E2" s="49" t="str">
        <f>IF(المهارات!$A3="","",المهارات!$A3)</f>
        <v/>
      </c>
      <c r="F2" s="49" t="str">
        <f>IF(المهارات!$A4="","",المهارات!$A4)</f>
        <v/>
      </c>
      <c r="G2" s="49" t="str">
        <f>IF(المهارات!$A5="","",المهارات!$A5)</f>
        <v/>
      </c>
      <c r="H2" s="49" t="str">
        <f>IF(المهارات!$A6="","",المهارات!$A6)</f>
        <v/>
      </c>
      <c r="I2" s="49" t="str">
        <f>IF(المهارات!$A7="","",المهارات!$A7)</f>
        <v/>
      </c>
      <c r="J2" s="49" t="str">
        <f>IF(المهارات!$A8="","",المهارات!$A8)</f>
        <v/>
      </c>
      <c r="K2" s="49" t="str">
        <f>IF(المهارات!$A9="","",المهارات!$A9)</f>
        <v/>
      </c>
      <c r="L2" s="49" t="str">
        <f>IF(المهارات!$A10="","",المهارات!$A10)</f>
        <v/>
      </c>
      <c r="M2" s="49" t="str">
        <f>IF(المهارات!$A11="","",المهارات!$A11)</f>
        <v/>
      </c>
      <c r="N2" s="49" t="str">
        <f>IF(المهارات!$A12="","",المهارات!$A12)</f>
        <v/>
      </c>
      <c r="O2" s="47" t="str">
        <f>IF(المهارات!$A13="","",المهارات!$A13)</f>
        <v/>
      </c>
      <c r="P2" s="47" t="str">
        <f>IF(المهارات!$A14="","",المهارات!$A14)</f>
        <v/>
      </c>
      <c r="Q2" s="47" t="str">
        <f>IF(المهارات!$A15="","",المهارات!$A15)</f>
        <v/>
      </c>
      <c r="R2" s="47" t="str">
        <f>IF(المهارات!$A16="","",المهارات!$A16)</f>
        <v/>
      </c>
      <c r="S2" s="47" t="str">
        <f>IF(المهارات!$A17="","",المهارات!$A17)</f>
        <v/>
      </c>
      <c r="T2" s="47" t="str">
        <f>IF(المهارات!$A18="","",المهارات!$A18)</f>
        <v/>
      </c>
      <c r="U2" s="47" t="str">
        <f>IF(المهارات!$A19="","",المهارات!$A19)</f>
        <v/>
      </c>
      <c r="V2" s="47" t="str">
        <f>IF(المهارات!$A20="","",المهارات!$A20)</f>
        <v/>
      </c>
      <c r="W2" s="1"/>
    </row>
    <row r="3" spans="1:24" ht="14.25" customHeight="1">
      <c r="A3" s="42" t="s">
        <v>72</v>
      </c>
      <c r="B3" s="42" t="s">
        <v>18</v>
      </c>
      <c r="C3" s="50" t="str">
        <f>IF(COUNT(الرصد!C3:Y3)=0,"",SUM(الرصد!C3:Y3))</f>
        <v/>
      </c>
      <c r="D3" s="51" t="str">
        <f>IF(OR(D$2="",COUNT(الرصد!$C3:$Y3)=0),"",IFERROR(SUMIF(معالجة!$B$3:$X$3,D$2,الرصد!$C3:$Y3)/SUMIF(معالجة!$B$3:$X$3,D$2,معالجة!$B$4:$X$4),""))</f>
        <v/>
      </c>
      <c r="E3" s="51" t="str">
        <f>IF(OR(E$2="",COUNT(الرصد!$C3:$Y3)=0),"",IFERROR(SUMIF(معالجة!$B$3:$X$3,E$2,الرصد!$C3:$Y3)/SUMIF(معالجة!$B$3:$X$3,E$2,معالجة!$B$4:$X$4),""))</f>
        <v/>
      </c>
      <c r="F3" s="51" t="str">
        <f>IF(OR(F$2="",COUNT(الرصد!$C3:$Y3)=0),"",IFERROR(SUMIF(معالجة!$B$3:$X$3,F$2,الرصد!$C3:$Y3)/SUMIF(معالجة!$B$3:$X$3,F$2,معالجة!$B$4:$X$4),""))</f>
        <v/>
      </c>
      <c r="G3" s="51" t="str">
        <f>IF(OR(G$2="",COUNT(الرصد!$C3:$Y3)=0),"",IFERROR(SUMIF(معالجة!$B$3:$X$3,G$2,الرصد!$C3:$Y3)/SUMIF(معالجة!$B$3:$X$3,G$2,معالجة!$B$4:$X$4),""))</f>
        <v/>
      </c>
      <c r="H3" s="51" t="str">
        <f>IF(OR(H$2="",COUNT(الرصد!$C3:$Y3)=0),"",IFERROR(SUMIF(معالجة!$B$3:$X$3,H$2,الرصد!$C3:$Y3)/SUMIF(معالجة!$B$3:$X$3,H$2,معالجة!$B$4:$X$4),""))</f>
        <v/>
      </c>
      <c r="I3" s="51" t="str">
        <f>IF(OR(I$2="",COUNT(الرصد!$C3:$Y3)=0),"",IFERROR(SUMIF(معالجة!$B$3:$X$3,I$2,الرصد!$C3:$Y3)/SUMIF(معالجة!$B$3:$X$3,I$2,معالجة!$B$4:$X$4),""))</f>
        <v/>
      </c>
      <c r="J3" s="51" t="str">
        <f>IF(OR(J$2="",COUNT(الرصد!$C3:$Y3)=0),"",IFERROR(SUMIF(معالجة!$B$3:$X$3,J$2,الرصد!$C3:$Y3)/SUMIF(معالجة!$B$3:$X$3,J$2,معالجة!$B$4:$X$4),""))</f>
        <v/>
      </c>
      <c r="K3" s="51" t="str">
        <f>IF(OR(K$2="",COUNT(الرصد!$C3:$Y3)=0),"",IFERROR(SUMIF(معالجة!$B$3:$X$3,K$2,الرصد!$C3:$Y3)/SUMIF(معالجة!$B$3:$X$3,K$2,معالجة!$B$4:$X$4),""))</f>
        <v/>
      </c>
      <c r="L3" s="51" t="str">
        <f>IF(OR(L$2="",COUNT(الرصد!$C3:$Y3)=0),"",IFERROR(SUMIF(معالجة!$B$3:$X$3,L$2,الرصد!$C3:$Y3)/SUMIF(معالجة!$B$3:$X$3,L$2,معالجة!$B$4:$X$4),""))</f>
        <v/>
      </c>
      <c r="M3" s="51" t="str">
        <f>IF(OR(M$2="",COUNT(الرصد!$C3:$Y3)=0),"",IFERROR(SUMIF(معالجة!$B$3:$X$3,M$2,الرصد!$C3:$Y3)/SUMIF(معالجة!$B$3:$X$3,M$2,معالجة!$B$4:$X$4),""))</f>
        <v/>
      </c>
      <c r="N3" s="51" t="str">
        <f>IF(OR(N$2="",COUNT(الرصد!$C3:$Y3)=0),"",IFERROR(SUMIF(معالجة!$B$3:$X$3,N$2,الرصد!$C3:$Y3)/SUMIF(معالجة!$B$3:$X$3,N$2,معالجة!$B$4:$X$4),""))</f>
        <v/>
      </c>
      <c r="O3" s="51" t="str">
        <f>IF(OR(O$2="",COUNT(الرصد!$C3:$Y3)=0),"",IFERROR(SUMIF(معالجة!$B$3:$X$3,O$2,الرصد!$C3:$Y3)/SUMIF(معالجة!$B$3:$X$3,O$2,معالجة!$B$4:$X$4),""))</f>
        <v/>
      </c>
      <c r="P3" s="51" t="str">
        <f>IF(OR(P$2="",COUNT(الرصد!$C3:$Y3)=0),"",IFERROR(SUMIF(معالجة!$B$3:$X$3,P$2,الرصد!$C3:$Y3)/SUMIF(معالجة!$B$3:$X$3,P$2,معالجة!$B$4:$X$4),""))</f>
        <v/>
      </c>
      <c r="Q3" s="51" t="str">
        <f>IF(OR(Q$2="",COUNT(الرصد!$C3:$Y3)=0),"",IFERROR(SUMIF(معالجة!$B$3:$X$3,Q$2,الرصد!$C3:$Y3)/SUMIF(معالجة!$B$3:$X$3,Q$2,معالجة!$B$4:$X$4),""))</f>
        <v/>
      </c>
      <c r="R3" s="51" t="str">
        <f>IF(OR(R$2="",COUNT(الرصد!$C3:$Y3)=0),"",IFERROR(SUMIF(معالجة!$B$3:$X$3,R$2,الرصد!$C3:$Y3)/SUMIF(معالجة!$B$3:$X$3,R$2,معالجة!$B$4:$X$4),""))</f>
        <v/>
      </c>
      <c r="S3" s="51" t="str">
        <f>IF(OR(S$2="",COUNT(الرصد!$C3:$Y3)=0),"",IFERROR(SUMIF(معالجة!$B$3:$X$3,S$2,الرصد!$C3:$Y3)/SUMIF(معالجة!$B$3:$X$3,S$2,معالجة!$B$4:$X$4),""))</f>
        <v/>
      </c>
      <c r="T3" s="51" t="str">
        <f>IF(OR(T$2="",COUNT(الرصد!$C3:$Y3)=0),"",IFERROR(SUMIF(معالجة!$B$3:$X$3,T$2,الرصد!$C3:$Y3)/SUMIF(معالجة!$B$3:$X$3,T$2,معالجة!$B$4:$X$4),""))</f>
        <v/>
      </c>
      <c r="U3" s="51" t="str">
        <f>IF(OR(U$2="",COUNT(الرصد!$C3:$Y3)=0),"",IFERROR(SUMIF(معالجة!$B$3:$X$3,U$2,الرصد!$C3:$Y3)/SUMIF(معالجة!$B$3:$X$3,U$2,معالجة!$B$4:$X$4),""))</f>
        <v/>
      </c>
      <c r="V3" s="51" t="str">
        <f>IF(OR(V$2="",COUNT(الرصد!$C3:$Y3)=0),"",IFERROR(SUMIF(معالجة!$B$3:$X$3,V$2,الرصد!$C3:$Y3)/SUMIF(معالجة!$B$3:$X$3,V$2,معالجة!$B$4:$X$4),""))</f>
        <v/>
      </c>
      <c r="W3" s="51" t="str">
        <f>IFERROR(C3/المهارات!$G$27,"")</f>
        <v/>
      </c>
    </row>
    <row r="4" spans="1:24" ht="14.25" customHeight="1">
      <c r="A4" s="46" t="s">
        <v>73</v>
      </c>
      <c r="B4" s="46" t="s">
        <v>18</v>
      </c>
      <c r="C4" s="52" t="str">
        <f>IF(COUNT(الرصد!C4:Y4)=0,"",SUM(الرصد!C4:Y4))</f>
        <v/>
      </c>
      <c r="D4" s="51" t="str">
        <f>IF(OR(D$2="",COUNT(الرصد!$C4:$Y4)=0),"",IFERROR(SUMIF(معالجة!$B$3:$X$3,D$2,الرصد!$C4:$Y4)/SUMIF(معالجة!$B$3:$X$3,D$2,معالجة!$B$4:$X$4),""))</f>
        <v/>
      </c>
      <c r="E4" s="51" t="str">
        <f>IF(OR(E$2="",COUNT(الرصد!$C4:$Y4)=0),"",IFERROR(SUMIF(معالجة!$B$3:$X$3,E$2,الرصد!$C4:$Y4)/SUMIF(معالجة!$B$3:$X$3,E$2,معالجة!$B$4:$X$4),""))</f>
        <v/>
      </c>
      <c r="F4" s="51" t="str">
        <f>IF(OR(F$2="",COUNT(الرصد!$C4:$Y4)=0),"",IFERROR(SUMIF(معالجة!$B$3:$X$3,F$2,الرصد!$C4:$Y4)/SUMIF(معالجة!$B$3:$X$3,F$2,معالجة!$B$4:$X$4),""))</f>
        <v/>
      </c>
      <c r="G4" s="51" t="str">
        <f>IF(OR(G$2="",COUNT(الرصد!$C4:$Y4)=0),"",IFERROR(SUMIF(معالجة!$B$3:$X$3,G$2,الرصد!$C4:$Y4)/SUMIF(معالجة!$B$3:$X$3,G$2,معالجة!$B$4:$X$4),""))</f>
        <v/>
      </c>
      <c r="H4" s="51" t="str">
        <f>IF(OR(H$2="",COUNT(الرصد!$C4:$Y4)=0),"",IFERROR(SUMIF(معالجة!$B$3:$X$3,H$2,الرصد!$C4:$Y4)/SUMIF(معالجة!$B$3:$X$3,H$2,معالجة!$B$4:$X$4),""))</f>
        <v/>
      </c>
      <c r="I4" s="51" t="str">
        <f>IF(OR(I$2="",COUNT(الرصد!$C4:$Y4)=0),"",IFERROR(SUMIF(معالجة!$B$3:$X$3,I$2,الرصد!$C4:$Y4)/SUMIF(معالجة!$B$3:$X$3,I$2,معالجة!$B$4:$X$4),""))</f>
        <v/>
      </c>
      <c r="J4" s="51" t="str">
        <f>IF(OR(J$2="",COUNT(الرصد!$C4:$Y4)=0),"",IFERROR(SUMIF(معالجة!$B$3:$X$3,J$2,الرصد!$C4:$Y4)/SUMIF(معالجة!$B$3:$X$3,J$2,معالجة!$B$4:$X$4),""))</f>
        <v/>
      </c>
      <c r="K4" s="51" t="str">
        <f>IF(OR(K$2="",COUNT(الرصد!$C4:$Y4)=0),"",IFERROR(SUMIF(معالجة!$B$3:$X$3,K$2,الرصد!$C4:$Y4)/SUMIF(معالجة!$B$3:$X$3,K$2,معالجة!$B$4:$X$4),""))</f>
        <v/>
      </c>
      <c r="L4" s="51" t="str">
        <f>IF(OR(L$2="",COUNT(الرصد!$C4:$Y4)=0),"",IFERROR(SUMIF(معالجة!$B$3:$X$3,L$2,الرصد!$C4:$Y4)/SUMIF(معالجة!$B$3:$X$3,L$2,معالجة!$B$4:$X$4),""))</f>
        <v/>
      </c>
      <c r="M4" s="51" t="str">
        <f>IF(OR(M$2="",COUNT(الرصد!$C4:$Y4)=0),"",IFERROR(SUMIF(معالجة!$B$3:$X$3,M$2,الرصد!$C4:$Y4)/SUMIF(معالجة!$B$3:$X$3,M$2,معالجة!$B$4:$X$4),""))</f>
        <v/>
      </c>
      <c r="N4" s="51" t="str">
        <f>IF(OR(N$2="",COUNT(الرصد!$C4:$Y4)=0),"",IFERROR(SUMIF(معالجة!$B$3:$X$3,N$2,الرصد!$C4:$Y4)/SUMIF(معالجة!$B$3:$X$3,N$2,معالجة!$B$4:$X$4),""))</f>
        <v/>
      </c>
      <c r="O4" s="51" t="str">
        <f>IF(OR(O$2="",COUNT(الرصد!$C4:$Y4)=0),"",IFERROR(SUMIF(معالجة!$B$3:$X$3,O$2,الرصد!$C4:$Y4)/SUMIF(معالجة!$B$3:$X$3,O$2,معالجة!$B$4:$X$4),""))</f>
        <v/>
      </c>
      <c r="P4" s="51" t="str">
        <f>IF(OR(P$2="",COUNT(الرصد!$C4:$Y4)=0),"",IFERROR(SUMIF(معالجة!$B$3:$X$3,P$2,الرصد!$C4:$Y4)/SUMIF(معالجة!$B$3:$X$3,P$2,معالجة!$B$4:$X$4),""))</f>
        <v/>
      </c>
      <c r="Q4" s="51" t="str">
        <f>IF(OR(Q$2="",COUNT(الرصد!$C4:$Y4)=0),"",IFERROR(SUMIF(معالجة!$B$3:$X$3,Q$2,الرصد!$C4:$Y4)/SUMIF(معالجة!$B$3:$X$3,Q$2,معالجة!$B$4:$X$4),""))</f>
        <v/>
      </c>
      <c r="R4" s="51" t="str">
        <f>IF(OR(R$2="",COUNT(الرصد!$C4:$Y4)=0),"",IFERROR(SUMIF(معالجة!$B$3:$X$3,R$2,الرصد!$C4:$Y4)/SUMIF(معالجة!$B$3:$X$3,R$2,معالجة!$B$4:$X$4),""))</f>
        <v/>
      </c>
      <c r="S4" s="51" t="str">
        <f>IF(OR(S$2="",COUNT(الرصد!$C4:$Y4)=0),"",IFERROR(SUMIF(معالجة!$B$3:$X$3,S$2,الرصد!$C4:$Y4)/SUMIF(معالجة!$B$3:$X$3,S$2,معالجة!$B$4:$X$4),""))</f>
        <v/>
      </c>
      <c r="T4" s="51" t="str">
        <f>IF(OR(T$2="",COUNT(الرصد!$C4:$Y4)=0),"",IFERROR(SUMIF(معالجة!$B$3:$X$3,T$2,الرصد!$C4:$Y4)/SUMIF(معالجة!$B$3:$X$3,T$2,معالجة!$B$4:$X$4),""))</f>
        <v/>
      </c>
      <c r="U4" s="51" t="str">
        <f>IF(OR(U$2="",COUNT(الرصد!$C4:$Y4)=0),"",IFERROR(SUMIF(معالجة!$B$3:$X$3,U$2,الرصد!$C4:$Y4)/SUMIF(معالجة!$B$3:$X$3,U$2,معالجة!$B$4:$X$4),""))</f>
        <v/>
      </c>
      <c r="V4" s="51" t="str">
        <f>IF(OR(V$2="",COUNT(الرصد!$C4:$Y4)=0),"",IFERROR(SUMIF(معالجة!$B$3:$X$3,V$2,الرصد!$C4:$Y4)/SUMIF(معالجة!$B$3:$X$3,V$2,معالجة!$B$4:$X$4),""))</f>
        <v/>
      </c>
      <c r="W4" s="51" t="str">
        <f>IFERROR(C4/المهارات!$G$27,"")</f>
        <v/>
      </c>
    </row>
    <row r="5" spans="1:24" ht="14.25" customHeight="1">
      <c r="A5" s="42" t="s">
        <v>74</v>
      </c>
      <c r="B5" s="42" t="s">
        <v>18</v>
      </c>
      <c r="C5" s="50" t="str">
        <f>IF(COUNT(الرصد!C5:Y5)=0,"",SUM(الرصد!C5:Y5))</f>
        <v/>
      </c>
      <c r="D5" s="51" t="str">
        <f>IF(OR(D$2="",COUNT(الرصد!$C5:$Y5)=0),"",IFERROR(SUMIF(معالجة!$B$3:$X$3,D$2,الرصد!$C5:$Y5)/SUMIF(معالجة!$B$3:$X$3,D$2,معالجة!$B$4:$X$4),""))</f>
        <v/>
      </c>
      <c r="E5" s="51" t="str">
        <f>IF(OR(E$2="",COUNT(الرصد!$C5:$Y5)=0),"",IFERROR(SUMIF(معالجة!$B$3:$X$3,E$2,الرصد!$C5:$Y5)/SUMIF(معالجة!$B$3:$X$3,E$2,معالجة!$B$4:$X$4),""))</f>
        <v/>
      </c>
      <c r="F5" s="51" t="str">
        <f>IF(OR(F$2="",COUNT(الرصد!$C5:$Y5)=0),"",IFERROR(SUMIF(معالجة!$B$3:$X$3,F$2,الرصد!$C5:$Y5)/SUMIF(معالجة!$B$3:$X$3,F$2,معالجة!$B$4:$X$4),""))</f>
        <v/>
      </c>
      <c r="G5" s="51" t="str">
        <f>IF(OR(G$2="",COUNT(الرصد!$C5:$Y5)=0),"",IFERROR(SUMIF(معالجة!$B$3:$X$3,G$2,الرصد!$C5:$Y5)/SUMIF(معالجة!$B$3:$X$3,G$2,معالجة!$B$4:$X$4),""))</f>
        <v/>
      </c>
      <c r="H5" s="51" t="str">
        <f>IF(OR(H$2="",COUNT(الرصد!$C5:$Y5)=0),"",IFERROR(SUMIF(معالجة!$B$3:$X$3,H$2,الرصد!$C5:$Y5)/SUMIF(معالجة!$B$3:$X$3,H$2,معالجة!$B$4:$X$4),""))</f>
        <v/>
      </c>
      <c r="I5" s="51" t="str">
        <f>IF(OR(I$2="",COUNT(الرصد!$C5:$Y5)=0),"",IFERROR(SUMIF(معالجة!$B$3:$X$3,I$2,الرصد!$C5:$Y5)/SUMIF(معالجة!$B$3:$X$3,I$2,معالجة!$B$4:$X$4),""))</f>
        <v/>
      </c>
      <c r="J5" s="51" t="str">
        <f>IF(OR(J$2="",COUNT(الرصد!$C5:$Y5)=0),"",IFERROR(SUMIF(معالجة!$B$3:$X$3,J$2,الرصد!$C5:$Y5)/SUMIF(معالجة!$B$3:$X$3,J$2,معالجة!$B$4:$X$4),""))</f>
        <v/>
      </c>
      <c r="K5" s="51" t="str">
        <f>IF(OR(K$2="",COUNT(الرصد!$C5:$Y5)=0),"",IFERROR(SUMIF(معالجة!$B$3:$X$3,K$2,الرصد!$C5:$Y5)/SUMIF(معالجة!$B$3:$X$3,K$2,معالجة!$B$4:$X$4),""))</f>
        <v/>
      </c>
      <c r="L5" s="51" t="str">
        <f>IF(OR(L$2="",COUNT(الرصد!$C5:$Y5)=0),"",IFERROR(SUMIF(معالجة!$B$3:$X$3,L$2,الرصد!$C5:$Y5)/SUMIF(معالجة!$B$3:$X$3,L$2,معالجة!$B$4:$X$4),""))</f>
        <v/>
      </c>
      <c r="M5" s="51" t="str">
        <f>IF(OR(M$2="",COUNT(الرصد!$C5:$Y5)=0),"",IFERROR(SUMIF(معالجة!$B$3:$X$3,M$2,الرصد!$C5:$Y5)/SUMIF(معالجة!$B$3:$X$3,M$2,معالجة!$B$4:$X$4),""))</f>
        <v/>
      </c>
      <c r="N5" s="51" t="str">
        <f>IF(OR(N$2="",COUNT(الرصد!$C5:$Y5)=0),"",IFERROR(SUMIF(معالجة!$B$3:$X$3,N$2,الرصد!$C5:$Y5)/SUMIF(معالجة!$B$3:$X$3,N$2,معالجة!$B$4:$X$4),""))</f>
        <v/>
      </c>
      <c r="O5" s="51" t="str">
        <f>IF(OR(O$2="",COUNT(الرصد!$C5:$Y5)=0),"",IFERROR(SUMIF(معالجة!$B$3:$X$3,O$2,الرصد!$C5:$Y5)/SUMIF(معالجة!$B$3:$X$3,O$2,معالجة!$B$4:$X$4),""))</f>
        <v/>
      </c>
      <c r="P5" s="51" t="str">
        <f>IF(OR(P$2="",COUNT(الرصد!$C5:$Y5)=0),"",IFERROR(SUMIF(معالجة!$B$3:$X$3,P$2,الرصد!$C5:$Y5)/SUMIF(معالجة!$B$3:$X$3,P$2,معالجة!$B$4:$X$4),""))</f>
        <v/>
      </c>
      <c r="Q5" s="51" t="str">
        <f>IF(OR(Q$2="",COUNT(الرصد!$C5:$Y5)=0),"",IFERROR(SUMIF(معالجة!$B$3:$X$3,Q$2,الرصد!$C5:$Y5)/SUMIF(معالجة!$B$3:$X$3,Q$2,معالجة!$B$4:$X$4),""))</f>
        <v/>
      </c>
      <c r="R5" s="51" t="str">
        <f>IF(OR(R$2="",COUNT(الرصد!$C5:$Y5)=0),"",IFERROR(SUMIF(معالجة!$B$3:$X$3,R$2,الرصد!$C5:$Y5)/SUMIF(معالجة!$B$3:$X$3,R$2,معالجة!$B$4:$X$4),""))</f>
        <v/>
      </c>
      <c r="S5" s="51" t="str">
        <f>IF(OR(S$2="",COUNT(الرصد!$C5:$Y5)=0),"",IFERROR(SUMIF(معالجة!$B$3:$X$3,S$2,الرصد!$C5:$Y5)/SUMIF(معالجة!$B$3:$X$3,S$2,معالجة!$B$4:$X$4),""))</f>
        <v/>
      </c>
      <c r="T5" s="51" t="str">
        <f>IF(OR(T$2="",COUNT(الرصد!$C5:$Y5)=0),"",IFERROR(SUMIF(معالجة!$B$3:$X$3,T$2,الرصد!$C5:$Y5)/SUMIF(معالجة!$B$3:$X$3,T$2,معالجة!$B$4:$X$4),""))</f>
        <v/>
      </c>
      <c r="U5" s="51" t="str">
        <f>IF(OR(U$2="",COUNT(الرصد!$C5:$Y5)=0),"",IFERROR(SUMIF(معالجة!$B$3:$X$3,U$2,الرصد!$C5:$Y5)/SUMIF(معالجة!$B$3:$X$3,U$2,معالجة!$B$4:$X$4),""))</f>
        <v/>
      </c>
      <c r="V5" s="51" t="str">
        <f>IF(OR(V$2="",COUNT(الرصد!$C5:$Y5)=0),"",IFERROR(SUMIF(معالجة!$B$3:$X$3,V$2,الرصد!$C5:$Y5)/SUMIF(معالجة!$B$3:$X$3,V$2,معالجة!$B$4:$X$4),""))</f>
        <v/>
      </c>
      <c r="W5" s="51" t="str">
        <f>IFERROR(C5/المهارات!$G$27,"")</f>
        <v/>
      </c>
    </row>
    <row r="6" spans="1:24" ht="14.25" customHeight="1">
      <c r="A6" s="46" t="s">
        <v>75</v>
      </c>
      <c r="B6" s="46" t="s">
        <v>18</v>
      </c>
      <c r="C6" s="52" t="str">
        <f>IF(COUNT(الرصد!C6:Y6)=0,"",SUM(الرصد!C6:Y6))</f>
        <v/>
      </c>
      <c r="D6" s="51" t="str">
        <f>IF(OR(D$2="",COUNT(الرصد!$C6:$Y6)=0),"",IFERROR(SUMIF(معالجة!$B$3:$X$3,D$2,الرصد!$C6:$Y6)/SUMIF(معالجة!$B$3:$X$3,D$2,معالجة!$B$4:$X$4),""))</f>
        <v/>
      </c>
      <c r="E6" s="51" t="str">
        <f>IF(OR(E$2="",COUNT(الرصد!$C6:$Y6)=0),"",IFERROR(SUMIF(معالجة!$B$3:$X$3,E$2,الرصد!$C6:$Y6)/SUMIF(معالجة!$B$3:$X$3,E$2,معالجة!$B$4:$X$4),""))</f>
        <v/>
      </c>
      <c r="F6" s="51" t="str">
        <f>IF(OR(F$2="",COUNT(الرصد!$C6:$Y6)=0),"",IFERROR(SUMIF(معالجة!$B$3:$X$3,F$2,الرصد!$C6:$Y6)/SUMIF(معالجة!$B$3:$X$3,F$2,معالجة!$B$4:$X$4),""))</f>
        <v/>
      </c>
      <c r="G6" s="51" t="str">
        <f>IF(OR(G$2="",COUNT(الرصد!$C6:$Y6)=0),"",IFERROR(SUMIF(معالجة!$B$3:$X$3,G$2,الرصد!$C6:$Y6)/SUMIF(معالجة!$B$3:$X$3,G$2,معالجة!$B$4:$X$4),""))</f>
        <v/>
      </c>
      <c r="H6" s="51" t="str">
        <f>IF(OR(H$2="",COUNT(الرصد!$C6:$Y6)=0),"",IFERROR(SUMIF(معالجة!$B$3:$X$3,H$2,الرصد!$C6:$Y6)/SUMIF(معالجة!$B$3:$X$3,H$2,معالجة!$B$4:$X$4),""))</f>
        <v/>
      </c>
      <c r="I6" s="51" t="str">
        <f>IF(OR(I$2="",COUNT(الرصد!$C6:$Y6)=0),"",IFERROR(SUMIF(معالجة!$B$3:$X$3,I$2,الرصد!$C6:$Y6)/SUMIF(معالجة!$B$3:$X$3,I$2,معالجة!$B$4:$X$4),""))</f>
        <v/>
      </c>
      <c r="J6" s="51" t="str">
        <f>IF(OR(J$2="",COUNT(الرصد!$C6:$Y6)=0),"",IFERROR(SUMIF(معالجة!$B$3:$X$3,J$2,الرصد!$C6:$Y6)/SUMIF(معالجة!$B$3:$X$3,J$2,معالجة!$B$4:$X$4),""))</f>
        <v/>
      </c>
      <c r="K6" s="51" t="str">
        <f>IF(OR(K$2="",COUNT(الرصد!$C6:$Y6)=0),"",IFERROR(SUMIF(معالجة!$B$3:$X$3,K$2,الرصد!$C6:$Y6)/SUMIF(معالجة!$B$3:$X$3,K$2,معالجة!$B$4:$X$4),""))</f>
        <v/>
      </c>
      <c r="L6" s="51" t="str">
        <f>IF(OR(L$2="",COUNT(الرصد!$C6:$Y6)=0),"",IFERROR(SUMIF(معالجة!$B$3:$X$3,L$2,الرصد!$C6:$Y6)/SUMIF(معالجة!$B$3:$X$3,L$2,معالجة!$B$4:$X$4),""))</f>
        <v/>
      </c>
      <c r="M6" s="51" t="str">
        <f>IF(OR(M$2="",COUNT(الرصد!$C6:$Y6)=0),"",IFERROR(SUMIF(معالجة!$B$3:$X$3,M$2,الرصد!$C6:$Y6)/SUMIF(معالجة!$B$3:$X$3,M$2,معالجة!$B$4:$X$4),""))</f>
        <v/>
      </c>
      <c r="N6" s="51" t="str">
        <f>IF(OR(N$2="",COUNT(الرصد!$C6:$Y6)=0),"",IFERROR(SUMIF(معالجة!$B$3:$X$3,N$2,الرصد!$C6:$Y6)/SUMIF(معالجة!$B$3:$X$3,N$2,معالجة!$B$4:$X$4),""))</f>
        <v/>
      </c>
      <c r="O6" s="51" t="str">
        <f>IF(OR(O$2="",COUNT(الرصد!$C6:$Y6)=0),"",IFERROR(SUMIF(معالجة!$B$3:$X$3,O$2,الرصد!$C6:$Y6)/SUMIF(معالجة!$B$3:$X$3,O$2,معالجة!$B$4:$X$4),""))</f>
        <v/>
      </c>
      <c r="P6" s="51" t="str">
        <f>IF(OR(P$2="",COUNT(الرصد!$C6:$Y6)=0),"",IFERROR(SUMIF(معالجة!$B$3:$X$3,P$2,الرصد!$C6:$Y6)/SUMIF(معالجة!$B$3:$X$3,P$2,معالجة!$B$4:$X$4),""))</f>
        <v/>
      </c>
      <c r="Q6" s="51" t="str">
        <f>IF(OR(Q$2="",COUNT(الرصد!$C6:$Y6)=0),"",IFERROR(SUMIF(معالجة!$B$3:$X$3,Q$2,الرصد!$C6:$Y6)/SUMIF(معالجة!$B$3:$X$3,Q$2,معالجة!$B$4:$X$4),""))</f>
        <v/>
      </c>
      <c r="R6" s="51" t="str">
        <f>IF(OR(R$2="",COUNT(الرصد!$C6:$Y6)=0),"",IFERROR(SUMIF(معالجة!$B$3:$X$3,R$2,الرصد!$C6:$Y6)/SUMIF(معالجة!$B$3:$X$3,R$2,معالجة!$B$4:$X$4),""))</f>
        <v/>
      </c>
      <c r="S6" s="51" t="str">
        <f>IF(OR(S$2="",COUNT(الرصد!$C6:$Y6)=0),"",IFERROR(SUMIF(معالجة!$B$3:$X$3,S$2,الرصد!$C6:$Y6)/SUMIF(معالجة!$B$3:$X$3,S$2,معالجة!$B$4:$X$4),""))</f>
        <v/>
      </c>
      <c r="T6" s="51" t="str">
        <f>IF(OR(T$2="",COUNT(الرصد!$C6:$Y6)=0),"",IFERROR(SUMIF(معالجة!$B$3:$X$3,T$2,الرصد!$C6:$Y6)/SUMIF(معالجة!$B$3:$X$3,T$2,معالجة!$B$4:$X$4),""))</f>
        <v/>
      </c>
      <c r="U6" s="51" t="str">
        <f>IF(OR(U$2="",COUNT(الرصد!$C6:$Y6)=0),"",IFERROR(SUMIF(معالجة!$B$3:$X$3,U$2,الرصد!$C6:$Y6)/SUMIF(معالجة!$B$3:$X$3,U$2,معالجة!$B$4:$X$4),""))</f>
        <v/>
      </c>
      <c r="V6" s="51" t="str">
        <f>IF(OR(V$2="",COUNT(الرصد!$C6:$Y6)=0),"",IFERROR(SUMIF(معالجة!$B$3:$X$3,V$2,الرصد!$C6:$Y6)/SUMIF(معالجة!$B$3:$X$3,V$2,معالجة!$B$4:$X$4),""))</f>
        <v/>
      </c>
      <c r="W6" s="51" t="str">
        <f>IFERROR(C6/المهارات!$G$27,"")</f>
        <v/>
      </c>
    </row>
    <row r="7" spans="1:24" ht="14.25" customHeight="1">
      <c r="A7" s="42" t="s">
        <v>76</v>
      </c>
      <c r="B7" s="42" t="s">
        <v>18</v>
      </c>
      <c r="C7" s="50" t="str">
        <f>IF(COUNT(الرصد!C7:Y7)=0,"",SUM(الرصد!C7:Y7))</f>
        <v/>
      </c>
      <c r="D7" s="51" t="str">
        <f>IF(OR(D$2="",COUNT(الرصد!$C7:$Y7)=0),"",IFERROR(SUMIF(معالجة!$B$3:$X$3,D$2,الرصد!$C7:$Y7)/SUMIF(معالجة!$B$3:$X$3,D$2,معالجة!$B$4:$X$4),""))</f>
        <v/>
      </c>
      <c r="E7" s="51" t="str">
        <f>IF(OR(E$2="",COUNT(الرصد!$C7:$Y7)=0),"",IFERROR(SUMIF(معالجة!$B$3:$X$3,E$2,الرصد!$C7:$Y7)/SUMIF(معالجة!$B$3:$X$3,E$2,معالجة!$B$4:$X$4),""))</f>
        <v/>
      </c>
      <c r="F7" s="51" t="str">
        <f>IF(OR(F$2="",COUNT(الرصد!$C7:$Y7)=0),"",IFERROR(SUMIF(معالجة!$B$3:$X$3,F$2,الرصد!$C7:$Y7)/SUMIF(معالجة!$B$3:$X$3,F$2,معالجة!$B$4:$X$4),""))</f>
        <v/>
      </c>
      <c r="G7" s="51" t="str">
        <f>IF(OR(G$2="",COUNT(الرصد!$C7:$Y7)=0),"",IFERROR(SUMIF(معالجة!$B$3:$X$3,G$2,الرصد!$C7:$Y7)/SUMIF(معالجة!$B$3:$X$3,G$2,معالجة!$B$4:$X$4),""))</f>
        <v/>
      </c>
      <c r="H7" s="51" t="str">
        <f>IF(OR(H$2="",COUNT(الرصد!$C7:$Y7)=0),"",IFERROR(SUMIF(معالجة!$B$3:$X$3,H$2,الرصد!$C7:$Y7)/SUMIF(معالجة!$B$3:$X$3,H$2,معالجة!$B$4:$X$4),""))</f>
        <v/>
      </c>
      <c r="I7" s="51" t="str">
        <f>IF(OR(I$2="",COUNT(الرصد!$C7:$Y7)=0),"",IFERROR(SUMIF(معالجة!$B$3:$X$3,I$2,الرصد!$C7:$Y7)/SUMIF(معالجة!$B$3:$X$3,I$2,معالجة!$B$4:$X$4),""))</f>
        <v/>
      </c>
      <c r="J7" s="51" t="str">
        <f>IF(OR(J$2="",COUNT(الرصد!$C7:$Y7)=0),"",IFERROR(SUMIF(معالجة!$B$3:$X$3,J$2,الرصد!$C7:$Y7)/SUMIF(معالجة!$B$3:$X$3,J$2,معالجة!$B$4:$X$4),""))</f>
        <v/>
      </c>
      <c r="K7" s="51" t="str">
        <f>IF(OR(K$2="",COUNT(الرصد!$C7:$Y7)=0),"",IFERROR(SUMIF(معالجة!$B$3:$X$3,K$2,الرصد!$C7:$Y7)/SUMIF(معالجة!$B$3:$X$3,K$2,معالجة!$B$4:$X$4),""))</f>
        <v/>
      </c>
      <c r="L7" s="51" t="str">
        <f>IF(OR(L$2="",COUNT(الرصد!$C7:$Y7)=0),"",IFERROR(SUMIF(معالجة!$B$3:$X$3,L$2,الرصد!$C7:$Y7)/SUMIF(معالجة!$B$3:$X$3,L$2,معالجة!$B$4:$X$4),""))</f>
        <v/>
      </c>
      <c r="M7" s="51" t="str">
        <f>IF(OR(M$2="",COUNT(الرصد!$C7:$Y7)=0),"",IFERROR(SUMIF(معالجة!$B$3:$X$3,M$2,الرصد!$C7:$Y7)/SUMIF(معالجة!$B$3:$X$3,M$2,معالجة!$B$4:$X$4),""))</f>
        <v/>
      </c>
      <c r="N7" s="51" t="str">
        <f>IF(OR(N$2="",COUNT(الرصد!$C7:$Y7)=0),"",IFERROR(SUMIF(معالجة!$B$3:$X$3,N$2,الرصد!$C7:$Y7)/SUMIF(معالجة!$B$3:$X$3,N$2,معالجة!$B$4:$X$4),""))</f>
        <v/>
      </c>
      <c r="O7" s="51" t="str">
        <f>IF(OR(O$2="",COUNT(الرصد!$C7:$Y7)=0),"",IFERROR(SUMIF(معالجة!$B$3:$X$3,O$2,الرصد!$C7:$Y7)/SUMIF(معالجة!$B$3:$X$3,O$2,معالجة!$B$4:$X$4),""))</f>
        <v/>
      </c>
      <c r="P7" s="51" t="str">
        <f>IF(OR(P$2="",COUNT(الرصد!$C7:$Y7)=0),"",IFERROR(SUMIF(معالجة!$B$3:$X$3,P$2,الرصد!$C7:$Y7)/SUMIF(معالجة!$B$3:$X$3,P$2,معالجة!$B$4:$X$4),""))</f>
        <v/>
      </c>
      <c r="Q7" s="51" t="str">
        <f>IF(OR(Q$2="",COUNT(الرصد!$C7:$Y7)=0),"",IFERROR(SUMIF(معالجة!$B$3:$X$3,Q$2,الرصد!$C7:$Y7)/SUMIF(معالجة!$B$3:$X$3,Q$2,معالجة!$B$4:$X$4),""))</f>
        <v/>
      </c>
      <c r="R7" s="51" t="str">
        <f>IF(OR(R$2="",COUNT(الرصد!$C7:$Y7)=0),"",IFERROR(SUMIF(معالجة!$B$3:$X$3,R$2,الرصد!$C7:$Y7)/SUMIF(معالجة!$B$3:$X$3,R$2,معالجة!$B$4:$X$4),""))</f>
        <v/>
      </c>
      <c r="S7" s="51" t="str">
        <f>IF(OR(S$2="",COUNT(الرصد!$C7:$Y7)=0),"",IFERROR(SUMIF(معالجة!$B$3:$X$3,S$2,الرصد!$C7:$Y7)/SUMIF(معالجة!$B$3:$X$3,S$2,معالجة!$B$4:$X$4),""))</f>
        <v/>
      </c>
      <c r="T7" s="51" t="str">
        <f>IF(OR(T$2="",COUNT(الرصد!$C7:$Y7)=0),"",IFERROR(SUMIF(معالجة!$B$3:$X$3,T$2,الرصد!$C7:$Y7)/SUMIF(معالجة!$B$3:$X$3,T$2,معالجة!$B$4:$X$4),""))</f>
        <v/>
      </c>
      <c r="U7" s="51" t="str">
        <f>IF(OR(U$2="",COUNT(الرصد!$C7:$Y7)=0),"",IFERROR(SUMIF(معالجة!$B$3:$X$3,U$2,الرصد!$C7:$Y7)/SUMIF(معالجة!$B$3:$X$3,U$2,معالجة!$B$4:$X$4),""))</f>
        <v/>
      </c>
      <c r="V7" s="51" t="str">
        <f>IF(OR(V$2="",COUNT(الرصد!$C7:$Y7)=0),"",IFERROR(SUMIF(معالجة!$B$3:$X$3,V$2,الرصد!$C7:$Y7)/SUMIF(معالجة!$B$3:$X$3,V$2,معالجة!$B$4:$X$4),""))</f>
        <v/>
      </c>
      <c r="W7" s="51" t="str">
        <f>IFERROR(C7/المهارات!$G$27,"")</f>
        <v/>
      </c>
    </row>
    <row r="8" spans="1:24" ht="14.25" customHeight="1">
      <c r="A8" s="46" t="s">
        <v>77</v>
      </c>
      <c r="B8" s="46" t="s">
        <v>18</v>
      </c>
      <c r="C8" s="52" t="str">
        <f>IF(COUNT(الرصد!C8:Y8)=0,"",SUM(الرصد!C8:Y8))</f>
        <v/>
      </c>
      <c r="D8" s="51" t="str">
        <f>IF(OR(D$2="",COUNT(الرصد!$C8:$Y8)=0),"",IFERROR(SUMIF(معالجة!$B$3:$X$3,D$2,الرصد!$C8:$Y8)/SUMIF(معالجة!$B$3:$X$3,D$2,معالجة!$B$4:$X$4),""))</f>
        <v/>
      </c>
      <c r="E8" s="51" t="str">
        <f>IF(OR(E$2="",COUNT(الرصد!$C8:$Y8)=0),"",IFERROR(SUMIF(معالجة!$B$3:$X$3,E$2,الرصد!$C8:$Y8)/SUMIF(معالجة!$B$3:$X$3,E$2,معالجة!$B$4:$X$4),""))</f>
        <v/>
      </c>
      <c r="F8" s="51" t="str">
        <f>IF(OR(F$2="",COUNT(الرصد!$C8:$Y8)=0),"",IFERROR(SUMIF(معالجة!$B$3:$X$3,F$2,الرصد!$C8:$Y8)/SUMIF(معالجة!$B$3:$X$3,F$2,معالجة!$B$4:$X$4),""))</f>
        <v/>
      </c>
      <c r="G8" s="51" t="str">
        <f>IF(OR(G$2="",COUNT(الرصد!$C8:$Y8)=0),"",IFERROR(SUMIF(معالجة!$B$3:$X$3,G$2,الرصد!$C8:$Y8)/SUMIF(معالجة!$B$3:$X$3,G$2,معالجة!$B$4:$X$4),""))</f>
        <v/>
      </c>
      <c r="H8" s="51" t="str">
        <f>IF(OR(H$2="",COUNT(الرصد!$C8:$Y8)=0),"",IFERROR(SUMIF(معالجة!$B$3:$X$3,H$2,الرصد!$C8:$Y8)/SUMIF(معالجة!$B$3:$X$3,H$2,معالجة!$B$4:$X$4),""))</f>
        <v/>
      </c>
      <c r="I8" s="51" t="str">
        <f>IF(OR(I$2="",COUNT(الرصد!$C8:$Y8)=0),"",IFERROR(SUMIF(معالجة!$B$3:$X$3,I$2,الرصد!$C8:$Y8)/SUMIF(معالجة!$B$3:$X$3,I$2,معالجة!$B$4:$X$4),""))</f>
        <v/>
      </c>
      <c r="J8" s="51" t="str">
        <f>IF(OR(J$2="",COUNT(الرصد!$C8:$Y8)=0),"",IFERROR(SUMIF(معالجة!$B$3:$X$3,J$2,الرصد!$C8:$Y8)/SUMIF(معالجة!$B$3:$X$3,J$2,معالجة!$B$4:$X$4),""))</f>
        <v/>
      </c>
      <c r="K8" s="51" t="str">
        <f>IF(OR(K$2="",COUNT(الرصد!$C8:$Y8)=0),"",IFERROR(SUMIF(معالجة!$B$3:$X$3,K$2,الرصد!$C8:$Y8)/SUMIF(معالجة!$B$3:$X$3,K$2,معالجة!$B$4:$X$4),""))</f>
        <v/>
      </c>
      <c r="L8" s="51" t="str">
        <f>IF(OR(L$2="",COUNT(الرصد!$C8:$Y8)=0),"",IFERROR(SUMIF(معالجة!$B$3:$X$3,L$2,الرصد!$C8:$Y8)/SUMIF(معالجة!$B$3:$X$3,L$2,معالجة!$B$4:$X$4),""))</f>
        <v/>
      </c>
      <c r="M8" s="51" t="str">
        <f>IF(OR(M$2="",COUNT(الرصد!$C8:$Y8)=0),"",IFERROR(SUMIF(معالجة!$B$3:$X$3,M$2,الرصد!$C8:$Y8)/SUMIF(معالجة!$B$3:$X$3,M$2,معالجة!$B$4:$X$4),""))</f>
        <v/>
      </c>
      <c r="N8" s="51" t="str">
        <f>IF(OR(N$2="",COUNT(الرصد!$C8:$Y8)=0),"",IFERROR(SUMIF(معالجة!$B$3:$X$3,N$2,الرصد!$C8:$Y8)/SUMIF(معالجة!$B$3:$X$3,N$2,معالجة!$B$4:$X$4),""))</f>
        <v/>
      </c>
      <c r="O8" s="51" t="str">
        <f>IF(OR(O$2="",COUNT(الرصد!$C8:$Y8)=0),"",IFERROR(SUMIF(معالجة!$B$3:$X$3,O$2,الرصد!$C8:$Y8)/SUMIF(معالجة!$B$3:$X$3,O$2,معالجة!$B$4:$X$4),""))</f>
        <v/>
      </c>
      <c r="P8" s="51" t="str">
        <f>IF(OR(P$2="",COUNT(الرصد!$C8:$Y8)=0),"",IFERROR(SUMIF(معالجة!$B$3:$X$3,P$2,الرصد!$C8:$Y8)/SUMIF(معالجة!$B$3:$X$3,P$2,معالجة!$B$4:$X$4),""))</f>
        <v/>
      </c>
      <c r="Q8" s="51" t="str">
        <f>IF(OR(Q$2="",COUNT(الرصد!$C8:$Y8)=0),"",IFERROR(SUMIF(معالجة!$B$3:$X$3,Q$2,الرصد!$C8:$Y8)/SUMIF(معالجة!$B$3:$X$3,Q$2,معالجة!$B$4:$X$4),""))</f>
        <v/>
      </c>
      <c r="R8" s="51" t="str">
        <f>IF(OR(R$2="",COUNT(الرصد!$C8:$Y8)=0),"",IFERROR(SUMIF(معالجة!$B$3:$X$3,R$2,الرصد!$C8:$Y8)/SUMIF(معالجة!$B$3:$X$3,R$2,معالجة!$B$4:$X$4),""))</f>
        <v/>
      </c>
      <c r="S8" s="51" t="str">
        <f>IF(OR(S$2="",COUNT(الرصد!$C8:$Y8)=0),"",IFERROR(SUMIF(معالجة!$B$3:$X$3,S$2,الرصد!$C8:$Y8)/SUMIF(معالجة!$B$3:$X$3,S$2,معالجة!$B$4:$X$4),""))</f>
        <v/>
      </c>
      <c r="T8" s="51" t="str">
        <f>IF(OR(T$2="",COUNT(الرصد!$C8:$Y8)=0),"",IFERROR(SUMIF(معالجة!$B$3:$X$3,T$2,الرصد!$C8:$Y8)/SUMIF(معالجة!$B$3:$X$3,T$2,معالجة!$B$4:$X$4),""))</f>
        <v/>
      </c>
      <c r="U8" s="51" t="str">
        <f>IF(OR(U$2="",COUNT(الرصد!$C8:$Y8)=0),"",IFERROR(SUMIF(معالجة!$B$3:$X$3,U$2,الرصد!$C8:$Y8)/SUMIF(معالجة!$B$3:$X$3,U$2,معالجة!$B$4:$X$4),""))</f>
        <v/>
      </c>
      <c r="V8" s="51" t="str">
        <f>IF(OR(V$2="",COUNT(الرصد!$C8:$Y8)=0),"",IFERROR(SUMIF(معالجة!$B$3:$X$3,V$2,الرصد!$C8:$Y8)/SUMIF(معالجة!$B$3:$X$3,V$2,معالجة!$B$4:$X$4),""))</f>
        <v/>
      </c>
      <c r="W8" s="51" t="str">
        <f>IFERROR(C8/المهارات!$G$27,"")</f>
        <v/>
      </c>
    </row>
    <row r="9" spans="1:24" ht="14.25" customHeight="1">
      <c r="A9" s="42" t="s">
        <v>78</v>
      </c>
      <c r="B9" s="42" t="s">
        <v>18</v>
      </c>
      <c r="C9" s="50" t="str">
        <f>IF(COUNT(الرصد!C9:Y9)=0,"",SUM(الرصد!C9:Y9))</f>
        <v/>
      </c>
      <c r="D9" s="51" t="str">
        <f>IF(OR(D$2="",COUNT(الرصد!$C9:$Y9)=0),"",IFERROR(SUMIF(معالجة!$B$3:$X$3,D$2,الرصد!$C9:$Y9)/SUMIF(معالجة!$B$3:$X$3,D$2,معالجة!$B$4:$X$4),""))</f>
        <v/>
      </c>
      <c r="E9" s="51" t="str">
        <f>IF(OR(E$2="",COUNT(الرصد!$C9:$Y9)=0),"",IFERROR(SUMIF(معالجة!$B$3:$X$3,E$2,الرصد!$C9:$Y9)/SUMIF(معالجة!$B$3:$X$3,E$2,معالجة!$B$4:$X$4),""))</f>
        <v/>
      </c>
      <c r="F9" s="51" t="str">
        <f>IF(OR(F$2="",COUNT(الرصد!$C9:$Y9)=0),"",IFERROR(SUMIF(معالجة!$B$3:$X$3,F$2,الرصد!$C9:$Y9)/SUMIF(معالجة!$B$3:$X$3,F$2,معالجة!$B$4:$X$4),""))</f>
        <v/>
      </c>
      <c r="G9" s="51" t="str">
        <f>IF(OR(G$2="",COUNT(الرصد!$C9:$Y9)=0),"",IFERROR(SUMIF(معالجة!$B$3:$X$3,G$2,الرصد!$C9:$Y9)/SUMIF(معالجة!$B$3:$X$3,G$2,معالجة!$B$4:$X$4),""))</f>
        <v/>
      </c>
      <c r="H9" s="51" t="str">
        <f>IF(OR(H$2="",COUNT(الرصد!$C9:$Y9)=0),"",IFERROR(SUMIF(معالجة!$B$3:$X$3,H$2,الرصد!$C9:$Y9)/SUMIF(معالجة!$B$3:$X$3,H$2,معالجة!$B$4:$X$4),""))</f>
        <v/>
      </c>
      <c r="I9" s="51" t="str">
        <f>IF(OR(I$2="",COUNT(الرصد!$C9:$Y9)=0),"",IFERROR(SUMIF(معالجة!$B$3:$X$3,I$2,الرصد!$C9:$Y9)/SUMIF(معالجة!$B$3:$X$3,I$2,معالجة!$B$4:$X$4),""))</f>
        <v/>
      </c>
      <c r="J9" s="51" t="str">
        <f>IF(OR(J$2="",COUNT(الرصد!$C9:$Y9)=0),"",IFERROR(SUMIF(معالجة!$B$3:$X$3,J$2,الرصد!$C9:$Y9)/SUMIF(معالجة!$B$3:$X$3,J$2,معالجة!$B$4:$X$4),""))</f>
        <v/>
      </c>
      <c r="K9" s="51" t="str">
        <f>IF(OR(K$2="",COUNT(الرصد!$C9:$Y9)=0),"",IFERROR(SUMIF(معالجة!$B$3:$X$3,K$2,الرصد!$C9:$Y9)/SUMIF(معالجة!$B$3:$X$3,K$2,معالجة!$B$4:$X$4),""))</f>
        <v/>
      </c>
      <c r="L9" s="51" t="str">
        <f>IF(OR(L$2="",COUNT(الرصد!$C9:$Y9)=0),"",IFERROR(SUMIF(معالجة!$B$3:$X$3,L$2,الرصد!$C9:$Y9)/SUMIF(معالجة!$B$3:$X$3,L$2,معالجة!$B$4:$X$4),""))</f>
        <v/>
      </c>
      <c r="M9" s="51" t="str">
        <f>IF(OR(M$2="",COUNT(الرصد!$C9:$Y9)=0),"",IFERROR(SUMIF(معالجة!$B$3:$X$3,M$2,الرصد!$C9:$Y9)/SUMIF(معالجة!$B$3:$X$3,M$2,معالجة!$B$4:$X$4),""))</f>
        <v/>
      </c>
      <c r="N9" s="51" t="str">
        <f>IF(OR(N$2="",COUNT(الرصد!$C9:$Y9)=0),"",IFERROR(SUMIF(معالجة!$B$3:$X$3,N$2,الرصد!$C9:$Y9)/SUMIF(معالجة!$B$3:$X$3,N$2,معالجة!$B$4:$X$4),""))</f>
        <v/>
      </c>
      <c r="O9" s="51" t="str">
        <f>IF(OR(O$2="",COUNT(الرصد!$C9:$Y9)=0),"",IFERROR(SUMIF(معالجة!$B$3:$X$3,O$2,الرصد!$C9:$Y9)/SUMIF(معالجة!$B$3:$X$3,O$2,معالجة!$B$4:$X$4),""))</f>
        <v/>
      </c>
      <c r="P9" s="51" t="str">
        <f>IF(OR(P$2="",COUNT(الرصد!$C9:$Y9)=0),"",IFERROR(SUMIF(معالجة!$B$3:$X$3,P$2,الرصد!$C9:$Y9)/SUMIF(معالجة!$B$3:$X$3,P$2,معالجة!$B$4:$X$4),""))</f>
        <v/>
      </c>
      <c r="Q9" s="51" t="str">
        <f>IF(OR(Q$2="",COUNT(الرصد!$C9:$Y9)=0),"",IFERROR(SUMIF(معالجة!$B$3:$X$3,Q$2,الرصد!$C9:$Y9)/SUMIF(معالجة!$B$3:$X$3,Q$2,معالجة!$B$4:$X$4),""))</f>
        <v/>
      </c>
      <c r="R9" s="51" t="str">
        <f>IF(OR(R$2="",COUNT(الرصد!$C9:$Y9)=0),"",IFERROR(SUMIF(معالجة!$B$3:$X$3,R$2,الرصد!$C9:$Y9)/SUMIF(معالجة!$B$3:$X$3,R$2,معالجة!$B$4:$X$4),""))</f>
        <v/>
      </c>
      <c r="S9" s="51" t="str">
        <f>IF(OR(S$2="",COUNT(الرصد!$C9:$Y9)=0),"",IFERROR(SUMIF(معالجة!$B$3:$X$3,S$2,الرصد!$C9:$Y9)/SUMIF(معالجة!$B$3:$X$3,S$2,معالجة!$B$4:$X$4),""))</f>
        <v/>
      </c>
      <c r="T9" s="51" t="str">
        <f>IF(OR(T$2="",COUNT(الرصد!$C9:$Y9)=0),"",IFERROR(SUMIF(معالجة!$B$3:$X$3,T$2,الرصد!$C9:$Y9)/SUMIF(معالجة!$B$3:$X$3,T$2,معالجة!$B$4:$X$4),""))</f>
        <v/>
      </c>
      <c r="U9" s="51" t="str">
        <f>IF(OR(U$2="",COUNT(الرصد!$C9:$Y9)=0),"",IFERROR(SUMIF(معالجة!$B$3:$X$3,U$2,الرصد!$C9:$Y9)/SUMIF(معالجة!$B$3:$X$3,U$2,معالجة!$B$4:$X$4),""))</f>
        <v/>
      </c>
      <c r="V9" s="51" t="str">
        <f>IF(OR(V$2="",COUNT(الرصد!$C9:$Y9)=0),"",IFERROR(SUMIF(معالجة!$B$3:$X$3,V$2,الرصد!$C9:$Y9)/SUMIF(معالجة!$B$3:$X$3,V$2,معالجة!$B$4:$X$4),""))</f>
        <v/>
      </c>
      <c r="W9" s="51" t="str">
        <f>IFERROR(C9/المهارات!$G$27,"")</f>
        <v/>
      </c>
    </row>
    <row r="10" spans="1:24" ht="14.25" customHeight="1">
      <c r="A10" s="46" t="s">
        <v>79</v>
      </c>
      <c r="B10" s="46" t="s">
        <v>18</v>
      </c>
      <c r="C10" s="52" t="str">
        <f>IF(COUNT(الرصد!C10:Y10)=0,"",SUM(الرصد!C10:Y10))</f>
        <v/>
      </c>
      <c r="D10" s="51" t="str">
        <f>IF(OR(D$2="",COUNT(الرصد!$C10:$Y10)=0),"",IFERROR(SUMIF(معالجة!$B$3:$X$3,D$2,الرصد!$C10:$Y10)/SUMIF(معالجة!$B$3:$X$3,D$2,معالجة!$B$4:$X$4),""))</f>
        <v/>
      </c>
      <c r="E10" s="51" t="str">
        <f>IF(OR(E$2="",COUNT(الرصد!$C10:$Y10)=0),"",IFERROR(SUMIF(معالجة!$B$3:$X$3,E$2,الرصد!$C10:$Y10)/SUMIF(معالجة!$B$3:$X$3,E$2,معالجة!$B$4:$X$4),""))</f>
        <v/>
      </c>
      <c r="F10" s="51" t="str">
        <f>IF(OR(F$2="",COUNT(الرصد!$C10:$Y10)=0),"",IFERROR(SUMIF(معالجة!$B$3:$X$3,F$2,الرصد!$C10:$Y10)/SUMIF(معالجة!$B$3:$X$3,F$2,معالجة!$B$4:$X$4),""))</f>
        <v/>
      </c>
      <c r="G10" s="51" t="str">
        <f>IF(OR(G$2="",COUNT(الرصد!$C10:$Y10)=0),"",IFERROR(SUMIF(معالجة!$B$3:$X$3,G$2,الرصد!$C10:$Y10)/SUMIF(معالجة!$B$3:$X$3,G$2,معالجة!$B$4:$X$4),""))</f>
        <v/>
      </c>
      <c r="H10" s="51" t="str">
        <f>IF(OR(H$2="",COUNT(الرصد!$C10:$Y10)=0),"",IFERROR(SUMIF(معالجة!$B$3:$X$3,H$2,الرصد!$C10:$Y10)/SUMIF(معالجة!$B$3:$X$3,H$2,معالجة!$B$4:$X$4),""))</f>
        <v/>
      </c>
      <c r="I10" s="51" t="str">
        <f>IF(OR(I$2="",COUNT(الرصد!$C10:$Y10)=0),"",IFERROR(SUMIF(معالجة!$B$3:$X$3,I$2,الرصد!$C10:$Y10)/SUMIF(معالجة!$B$3:$X$3,I$2,معالجة!$B$4:$X$4),""))</f>
        <v/>
      </c>
      <c r="J10" s="51" t="str">
        <f>IF(OR(J$2="",COUNT(الرصد!$C10:$Y10)=0),"",IFERROR(SUMIF(معالجة!$B$3:$X$3,J$2,الرصد!$C10:$Y10)/SUMIF(معالجة!$B$3:$X$3,J$2,معالجة!$B$4:$X$4),""))</f>
        <v/>
      </c>
      <c r="K10" s="51" t="str">
        <f>IF(OR(K$2="",COUNT(الرصد!$C10:$Y10)=0),"",IFERROR(SUMIF(معالجة!$B$3:$X$3,K$2,الرصد!$C10:$Y10)/SUMIF(معالجة!$B$3:$X$3,K$2,معالجة!$B$4:$X$4),""))</f>
        <v/>
      </c>
      <c r="L10" s="51" t="str">
        <f>IF(OR(L$2="",COUNT(الرصد!$C10:$Y10)=0),"",IFERROR(SUMIF(معالجة!$B$3:$X$3,L$2,الرصد!$C10:$Y10)/SUMIF(معالجة!$B$3:$X$3,L$2,معالجة!$B$4:$X$4),""))</f>
        <v/>
      </c>
      <c r="M10" s="51" t="str">
        <f>IF(OR(M$2="",COUNT(الرصد!$C10:$Y10)=0),"",IFERROR(SUMIF(معالجة!$B$3:$X$3,M$2,الرصد!$C10:$Y10)/SUMIF(معالجة!$B$3:$X$3,M$2,معالجة!$B$4:$X$4),""))</f>
        <v/>
      </c>
      <c r="N10" s="51" t="str">
        <f>IF(OR(N$2="",COUNT(الرصد!$C10:$Y10)=0),"",IFERROR(SUMIF(معالجة!$B$3:$X$3,N$2,الرصد!$C10:$Y10)/SUMIF(معالجة!$B$3:$X$3,N$2,معالجة!$B$4:$X$4),""))</f>
        <v/>
      </c>
      <c r="O10" s="51" t="str">
        <f>IF(OR(O$2="",COUNT(الرصد!$C10:$Y10)=0),"",IFERROR(SUMIF(معالجة!$B$3:$X$3,O$2,الرصد!$C10:$Y10)/SUMIF(معالجة!$B$3:$X$3,O$2,معالجة!$B$4:$X$4),""))</f>
        <v/>
      </c>
      <c r="P10" s="51" t="str">
        <f>IF(OR(P$2="",COUNT(الرصد!$C10:$Y10)=0),"",IFERROR(SUMIF(معالجة!$B$3:$X$3,P$2,الرصد!$C10:$Y10)/SUMIF(معالجة!$B$3:$X$3,P$2,معالجة!$B$4:$X$4),""))</f>
        <v/>
      </c>
      <c r="Q10" s="51" t="str">
        <f>IF(OR(Q$2="",COUNT(الرصد!$C10:$Y10)=0),"",IFERROR(SUMIF(معالجة!$B$3:$X$3,Q$2,الرصد!$C10:$Y10)/SUMIF(معالجة!$B$3:$X$3,Q$2,معالجة!$B$4:$X$4),""))</f>
        <v/>
      </c>
      <c r="R10" s="51" t="str">
        <f>IF(OR(R$2="",COUNT(الرصد!$C10:$Y10)=0),"",IFERROR(SUMIF(معالجة!$B$3:$X$3,R$2,الرصد!$C10:$Y10)/SUMIF(معالجة!$B$3:$X$3,R$2,معالجة!$B$4:$X$4),""))</f>
        <v/>
      </c>
      <c r="S10" s="51" t="str">
        <f>IF(OR(S$2="",COUNT(الرصد!$C10:$Y10)=0),"",IFERROR(SUMIF(معالجة!$B$3:$X$3,S$2,الرصد!$C10:$Y10)/SUMIF(معالجة!$B$3:$X$3,S$2,معالجة!$B$4:$X$4),""))</f>
        <v/>
      </c>
      <c r="T10" s="51" t="str">
        <f>IF(OR(T$2="",COUNT(الرصد!$C10:$Y10)=0),"",IFERROR(SUMIF(معالجة!$B$3:$X$3,T$2,الرصد!$C10:$Y10)/SUMIF(معالجة!$B$3:$X$3,T$2,معالجة!$B$4:$X$4),""))</f>
        <v/>
      </c>
      <c r="U10" s="51" t="str">
        <f>IF(OR(U$2="",COUNT(الرصد!$C10:$Y10)=0),"",IFERROR(SUMIF(معالجة!$B$3:$X$3,U$2,الرصد!$C10:$Y10)/SUMIF(معالجة!$B$3:$X$3,U$2,معالجة!$B$4:$X$4),""))</f>
        <v/>
      </c>
      <c r="V10" s="51" t="str">
        <f>IF(OR(V$2="",COUNT(الرصد!$C10:$Y10)=0),"",IFERROR(SUMIF(معالجة!$B$3:$X$3,V$2,الرصد!$C10:$Y10)/SUMIF(معالجة!$B$3:$X$3,V$2,معالجة!$B$4:$X$4),""))</f>
        <v/>
      </c>
      <c r="W10" s="51" t="str">
        <f>IFERROR(C10/المهارات!$G$27,"")</f>
        <v/>
      </c>
    </row>
    <row r="11" spans="1:24" ht="14.25" customHeight="1">
      <c r="A11" s="42" t="s">
        <v>80</v>
      </c>
      <c r="B11" s="42" t="s">
        <v>18</v>
      </c>
      <c r="C11" s="50" t="str">
        <f>IF(COUNT(الرصد!C11:Y11)=0,"",SUM(الرصد!C11:Y11))</f>
        <v/>
      </c>
      <c r="D11" s="51" t="str">
        <f>IF(OR(D$2="",COUNT(الرصد!$C11:$Y11)=0),"",IFERROR(SUMIF(معالجة!$B$3:$X$3,D$2,الرصد!$C11:$Y11)/SUMIF(معالجة!$B$3:$X$3,D$2,معالجة!$B$4:$X$4),""))</f>
        <v/>
      </c>
      <c r="E11" s="51" t="str">
        <f>IF(OR(E$2="",COUNT(الرصد!$C11:$Y11)=0),"",IFERROR(SUMIF(معالجة!$B$3:$X$3,E$2,الرصد!$C11:$Y11)/SUMIF(معالجة!$B$3:$X$3,E$2,معالجة!$B$4:$X$4),""))</f>
        <v/>
      </c>
      <c r="F11" s="51" t="str">
        <f>IF(OR(F$2="",COUNT(الرصد!$C11:$Y11)=0),"",IFERROR(SUMIF(معالجة!$B$3:$X$3,F$2,الرصد!$C11:$Y11)/SUMIF(معالجة!$B$3:$X$3,F$2,معالجة!$B$4:$X$4),""))</f>
        <v/>
      </c>
      <c r="G11" s="51" t="str">
        <f>IF(OR(G$2="",COUNT(الرصد!$C11:$Y11)=0),"",IFERROR(SUMIF(معالجة!$B$3:$X$3,G$2,الرصد!$C11:$Y11)/SUMIF(معالجة!$B$3:$X$3,G$2,معالجة!$B$4:$X$4),""))</f>
        <v/>
      </c>
      <c r="H11" s="51" t="str">
        <f>IF(OR(H$2="",COUNT(الرصد!$C11:$Y11)=0),"",IFERROR(SUMIF(معالجة!$B$3:$X$3,H$2,الرصد!$C11:$Y11)/SUMIF(معالجة!$B$3:$X$3,H$2,معالجة!$B$4:$X$4),""))</f>
        <v/>
      </c>
      <c r="I11" s="51" t="str">
        <f>IF(OR(I$2="",COUNT(الرصد!$C11:$Y11)=0),"",IFERROR(SUMIF(معالجة!$B$3:$X$3,I$2,الرصد!$C11:$Y11)/SUMIF(معالجة!$B$3:$X$3,I$2,معالجة!$B$4:$X$4),""))</f>
        <v/>
      </c>
      <c r="J11" s="51" t="str">
        <f>IF(OR(J$2="",COUNT(الرصد!$C11:$Y11)=0),"",IFERROR(SUMIF(معالجة!$B$3:$X$3,J$2,الرصد!$C11:$Y11)/SUMIF(معالجة!$B$3:$X$3,J$2,معالجة!$B$4:$X$4),""))</f>
        <v/>
      </c>
      <c r="K11" s="51" t="str">
        <f>IF(OR(K$2="",COUNT(الرصد!$C11:$Y11)=0),"",IFERROR(SUMIF(معالجة!$B$3:$X$3,K$2,الرصد!$C11:$Y11)/SUMIF(معالجة!$B$3:$X$3,K$2,معالجة!$B$4:$X$4),""))</f>
        <v/>
      </c>
      <c r="L11" s="51" t="str">
        <f>IF(OR(L$2="",COUNT(الرصد!$C11:$Y11)=0),"",IFERROR(SUMIF(معالجة!$B$3:$X$3,L$2,الرصد!$C11:$Y11)/SUMIF(معالجة!$B$3:$X$3,L$2,معالجة!$B$4:$X$4),""))</f>
        <v/>
      </c>
      <c r="M11" s="51" t="str">
        <f>IF(OR(M$2="",COUNT(الرصد!$C11:$Y11)=0),"",IFERROR(SUMIF(معالجة!$B$3:$X$3,M$2,الرصد!$C11:$Y11)/SUMIF(معالجة!$B$3:$X$3,M$2,معالجة!$B$4:$X$4),""))</f>
        <v/>
      </c>
      <c r="N11" s="51" t="str">
        <f>IF(OR(N$2="",COUNT(الرصد!$C11:$Y11)=0),"",IFERROR(SUMIF(معالجة!$B$3:$X$3,N$2,الرصد!$C11:$Y11)/SUMIF(معالجة!$B$3:$X$3,N$2,معالجة!$B$4:$X$4),""))</f>
        <v/>
      </c>
      <c r="O11" s="51" t="str">
        <f>IF(OR(O$2="",COUNT(الرصد!$C11:$Y11)=0),"",IFERROR(SUMIF(معالجة!$B$3:$X$3,O$2,الرصد!$C11:$Y11)/SUMIF(معالجة!$B$3:$X$3,O$2,معالجة!$B$4:$X$4),""))</f>
        <v/>
      </c>
      <c r="P11" s="51" t="str">
        <f>IF(OR(P$2="",COUNT(الرصد!$C11:$Y11)=0),"",IFERROR(SUMIF(معالجة!$B$3:$X$3,P$2,الرصد!$C11:$Y11)/SUMIF(معالجة!$B$3:$X$3,P$2,معالجة!$B$4:$X$4),""))</f>
        <v/>
      </c>
      <c r="Q11" s="51" t="str">
        <f>IF(OR(Q$2="",COUNT(الرصد!$C11:$Y11)=0),"",IFERROR(SUMIF(معالجة!$B$3:$X$3,Q$2,الرصد!$C11:$Y11)/SUMIF(معالجة!$B$3:$X$3,Q$2,معالجة!$B$4:$X$4),""))</f>
        <v/>
      </c>
      <c r="R11" s="51" t="str">
        <f>IF(OR(R$2="",COUNT(الرصد!$C11:$Y11)=0),"",IFERROR(SUMIF(معالجة!$B$3:$X$3,R$2,الرصد!$C11:$Y11)/SUMIF(معالجة!$B$3:$X$3,R$2,معالجة!$B$4:$X$4),""))</f>
        <v/>
      </c>
      <c r="S11" s="51" t="str">
        <f>IF(OR(S$2="",COUNT(الرصد!$C11:$Y11)=0),"",IFERROR(SUMIF(معالجة!$B$3:$X$3,S$2,الرصد!$C11:$Y11)/SUMIF(معالجة!$B$3:$X$3,S$2,معالجة!$B$4:$X$4),""))</f>
        <v/>
      </c>
      <c r="T11" s="51" t="str">
        <f>IF(OR(T$2="",COUNT(الرصد!$C11:$Y11)=0),"",IFERROR(SUMIF(معالجة!$B$3:$X$3,T$2,الرصد!$C11:$Y11)/SUMIF(معالجة!$B$3:$X$3,T$2,معالجة!$B$4:$X$4),""))</f>
        <v/>
      </c>
      <c r="U11" s="51" t="str">
        <f>IF(OR(U$2="",COUNT(الرصد!$C11:$Y11)=0),"",IFERROR(SUMIF(معالجة!$B$3:$X$3,U$2,الرصد!$C11:$Y11)/SUMIF(معالجة!$B$3:$X$3,U$2,معالجة!$B$4:$X$4),""))</f>
        <v/>
      </c>
      <c r="V11" s="51" t="str">
        <f>IF(OR(V$2="",COUNT(الرصد!$C11:$Y11)=0),"",IFERROR(SUMIF(معالجة!$B$3:$X$3,V$2,الرصد!$C11:$Y11)/SUMIF(معالجة!$B$3:$X$3,V$2,معالجة!$B$4:$X$4),""))</f>
        <v/>
      </c>
      <c r="W11" s="51" t="str">
        <f>IFERROR(C11/المهارات!$G$27,"")</f>
        <v/>
      </c>
    </row>
    <row r="12" spans="1:24" ht="14.25" customHeight="1">
      <c r="A12" s="46" t="s">
        <v>81</v>
      </c>
      <c r="B12" s="46" t="s">
        <v>18</v>
      </c>
      <c r="C12" s="52" t="str">
        <f>IF(COUNT(الرصد!C12:Y12)=0,"",SUM(الرصد!C12:Y12))</f>
        <v/>
      </c>
      <c r="D12" s="51" t="str">
        <f>IF(OR(D$2="",COUNT(الرصد!$C12:$Y12)=0),"",IFERROR(SUMIF(معالجة!$B$3:$X$3,D$2,الرصد!$C12:$Y12)/SUMIF(معالجة!$B$3:$X$3,D$2,معالجة!$B$4:$X$4),""))</f>
        <v/>
      </c>
      <c r="E12" s="51" t="str">
        <f>IF(OR(E$2="",COUNT(الرصد!$C12:$Y12)=0),"",IFERROR(SUMIF(معالجة!$B$3:$X$3,E$2,الرصد!$C12:$Y12)/SUMIF(معالجة!$B$3:$X$3,E$2,معالجة!$B$4:$X$4),""))</f>
        <v/>
      </c>
      <c r="F12" s="51" t="str">
        <f>IF(OR(F$2="",COUNT(الرصد!$C12:$Y12)=0),"",IFERROR(SUMIF(معالجة!$B$3:$X$3,F$2,الرصد!$C12:$Y12)/SUMIF(معالجة!$B$3:$X$3,F$2,معالجة!$B$4:$X$4),""))</f>
        <v/>
      </c>
      <c r="G12" s="51" t="str">
        <f>IF(OR(G$2="",COUNT(الرصد!$C12:$Y12)=0),"",IFERROR(SUMIF(معالجة!$B$3:$X$3,G$2,الرصد!$C12:$Y12)/SUMIF(معالجة!$B$3:$X$3,G$2,معالجة!$B$4:$X$4),""))</f>
        <v/>
      </c>
      <c r="H12" s="51" t="str">
        <f>IF(OR(H$2="",COUNT(الرصد!$C12:$Y12)=0),"",IFERROR(SUMIF(معالجة!$B$3:$X$3,H$2,الرصد!$C12:$Y12)/SUMIF(معالجة!$B$3:$X$3,H$2,معالجة!$B$4:$X$4),""))</f>
        <v/>
      </c>
      <c r="I12" s="51" t="str">
        <f>IF(OR(I$2="",COUNT(الرصد!$C12:$Y12)=0),"",IFERROR(SUMIF(معالجة!$B$3:$X$3,I$2,الرصد!$C12:$Y12)/SUMIF(معالجة!$B$3:$X$3,I$2,معالجة!$B$4:$X$4),""))</f>
        <v/>
      </c>
      <c r="J12" s="51" t="str">
        <f>IF(OR(J$2="",COUNT(الرصد!$C12:$Y12)=0),"",IFERROR(SUMIF(معالجة!$B$3:$X$3,J$2,الرصد!$C12:$Y12)/SUMIF(معالجة!$B$3:$X$3,J$2,معالجة!$B$4:$X$4),""))</f>
        <v/>
      </c>
      <c r="K12" s="51" t="str">
        <f>IF(OR(K$2="",COUNT(الرصد!$C12:$Y12)=0),"",IFERROR(SUMIF(معالجة!$B$3:$X$3,K$2,الرصد!$C12:$Y12)/SUMIF(معالجة!$B$3:$X$3,K$2,معالجة!$B$4:$X$4),""))</f>
        <v/>
      </c>
      <c r="L12" s="51" t="str">
        <f>IF(OR(L$2="",COUNT(الرصد!$C12:$Y12)=0),"",IFERROR(SUMIF(معالجة!$B$3:$X$3,L$2,الرصد!$C12:$Y12)/SUMIF(معالجة!$B$3:$X$3,L$2,معالجة!$B$4:$X$4),""))</f>
        <v/>
      </c>
      <c r="M12" s="51" t="str">
        <f>IF(OR(M$2="",COUNT(الرصد!$C12:$Y12)=0),"",IFERROR(SUMIF(معالجة!$B$3:$X$3,M$2,الرصد!$C12:$Y12)/SUMIF(معالجة!$B$3:$X$3,M$2,معالجة!$B$4:$X$4),""))</f>
        <v/>
      </c>
      <c r="N12" s="51" t="str">
        <f>IF(OR(N$2="",COUNT(الرصد!$C12:$Y12)=0),"",IFERROR(SUMIF(معالجة!$B$3:$X$3,N$2,الرصد!$C12:$Y12)/SUMIF(معالجة!$B$3:$X$3,N$2,معالجة!$B$4:$X$4),""))</f>
        <v/>
      </c>
      <c r="O12" s="51" t="str">
        <f>IF(OR(O$2="",COUNT(الرصد!$C12:$Y12)=0),"",IFERROR(SUMIF(معالجة!$B$3:$X$3,O$2,الرصد!$C12:$Y12)/SUMIF(معالجة!$B$3:$X$3,O$2,معالجة!$B$4:$X$4),""))</f>
        <v/>
      </c>
      <c r="P12" s="51" t="str">
        <f>IF(OR(P$2="",COUNT(الرصد!$C12:$Y12)=0),"",IFERROR(SUMIF(معالجة!$B$3:$X$3,P$2,الرصد!$C12:$Y12)/SUMIF(معالجة!$B$3:$X$3,P$2,معالجة!$B$4:$X$4),""))</f>
        <v/>
      </c>
      <c r="Q12" s="51" t="str">
        <f>IF(OR(Q$2="",COUNT(الرصد!$C12:$Y12)=0),"",IFERROR(SUMIF(معالجة!$B$3:$X$3,Q$2,الرصد!$C12:$Y12)/SUMIF(معالجة!$B$3:$X$3,Q$2,معالجة!$B$4:$X$4),""))</f>
        <v/>
      </c>
      <c r="R12" s="51" t="str">
        <f>IF(OR(R$2="",COUNT(الرصد!$C12:$Y12)=0),"",IFERROR(SUMIF(معالجة!$B$3:$X$3,R$2,الرصد!$C12:$Y12)/SUMIF(معالجة!$B$3:$X$3,R$2,معالجة!$B$4:$X$4),""))</f>
        <v/>
      </c>
      <c r="S12" s="51" t="str">
        <f>IF(OR(S$2="",COUNT(الرصد!$C12:$Y12)=0),"",IFERROR(SUMIF(معالجة!$B$3:$X$3,S$2,الرصد!$C12:$Y12)/SUMIF(معالجة!$B$3:$X$3,S$2,معالجة!$B$4:$X$4),""))</f>
        <v/>
      </c>
      <c r="T12" s="51" t="str">
        <f>IF(OR(T$2="",COUNT(الرصد!$C12:$Y12)=0),"",IFERROR(SUMIF(معالجة!$B$3:$X$3,T$2,الرصد!$C12:$Y12)/SUMIF(معالجة!$B$3:$X$3,T$2,معالجة!$B$4:$X$4),""))</f>
        <v/>
      </c>
      <c r="U12" s="51" t="str">
        <f>IF(OR(U$2="",COUNT(الرصد!$C12:$Y12)=0),"",IFERROR(SUMIF(معالجة!$B$3:$X$3,U$2,الرصد!$C12:$Y12)/SUMIF(معالجة!$B$3:$X$3,U$2,معالجة!$B$4:$X$4),""))</f>
        <v/>
      </c>
      <c r="V12" s="51" t="str">
        <f>IF(OR(V$2="",COUNT(الرصد!$C12:$Y12)=0),"",IFERROR(SUMIF(معالجة!$B$3:$X$3,V$2,الرصد!$C12:$Y12)/SUMIF(معالجة!$B$3:$X$3,V$2,معالجة!$B$4:$X$4),""))</f>
        <v/>
      </c>
      <c r="W12" s="51" t="str">
        <f>IFERROR(C12/المهارات!$G$27,"")</f>
        <v/>
      </c>
    </row>
    <row r="13" spans="1:24" ht="14.25" customHeight="1">
      <c r="A13" s="42" t="s">
        <v>82</v>
      </c>
      <c r="B13" s="42" t="s">
        <v>18</v>
      </c>
      <c r="C13" s="50" t="str">
        <f>IF(COUNT(الرصد!C13:Y13)=0,"",SUM(الرصد!C13:Y13))</f>
        <v/>
      </c>
      <c r="D13" s="51" t="str">
        <f>IF(OR(D$2="",COUNT(الرصد!$C13:$Y13)=0),"",IFERROR(SUMIF(معالجة!$B$3:$X$3,D$2,الرصد!$C13:$Y13)/SUMIF(معالجة!$B$3:$X$3,D$2,معالجة!$B$4:$X$4),""))</f>
        <v/>
      </c>
      <c r="E13" s="51" t="str">
        <f>IF(OR(E$2="",COUNT(الرصد!$C13:$Y13)=0),"",IFERROR(SUMIF(معالجة!$B$3:$X$3,E$2,الرصد!$C13:$Y13)/SUMIF(معالجة!$B$3:$X$3,E$2,معالجة!$B$4:$X$4),""))</f>
        <v/>
      </c>
      <c r="F13" s="51" t="str">
        <f>IF(OR(F$2="",COUNT(الرصد!$C13:$Y13)=0),"",IFERROR(SUMIF(معالجة!$B$3:$X$3,F$2,الرصد!$C13:$Y13)/SUMIF(معالجة!$B$3:$X$3,F$2,معالجة!$B$4:$X$4),""))</f>
        <v/>
      </c>
      <c r="G13" s="51" t="str">
        <f>IF(OR(G$2="",COUNT(الرصد!$C13:$Y13)=0),"",IFERROR(SUMIF(معالجة!$B$3:$X$3,G$2,الرصد!$C13:$Y13)/SUMIF(معالجة!$B$3:$X$3,G$2,معالجة!$B$4:$X$4),""))</f>
        <v/>
      </c>
      <c r="H13" s="51" t="str">
        <f>IF(OR(H$2="",COUNT(الرصد!$C13:$Y13)=0),"",IFERROR(SUMIF(معالجة!$B$3:$X$3,H$2,الرصد!$C13:$Y13)/SUMIF(معالجة!$B$3:$X$3,H$2,معالجة!$B$4:$X$4),""))</f>
        <v/>
      </c>
      <c r="I13" s="51" t="str">
        <f>IF(OR(I$2="",COUNT(الرصد!$C13:$Y13)=0),"",IFERROR(SUMIF(معالجة!$B$3:$X$3,I$2,الرصد!$C13:$Y13)/SUMIF(معالجة!$B$3:$X$3,I$2,معالجة!$B$4:$X$4),""))</f>
        <v/>
      </c>
      <c r="J13" s="51" t="str">
        <f>IF(OR(J$2="",COUNT(الرصد!$C13:$Y13)=0),"",IFERROR(SUMIF(معالجة!$B$3:$X$3,J$2,الرصد!$C13:$Y13)/SUMIF(معالجة!$B$3:$X$3,J$2,معالجة!$B$4:$X$4),""))</f>
        <v/>
      </c>
      <c r="K13" s="51" t="str">
        <f>IF(OR(K$2="",COUNT(الرصد!$C13:$Y13)=0),"",IFERROR(SUMIF(معالجة!$B$3:$X$3,K$2,الرصد!$C13:$Y13)/SUMIF(معالجة!$B$3:$X$3,K$2,معالجة!$B$4:$X$4),""))</f>
        <v/>
      </c>
      <c r="L13" s="51" t="str">
        <f>IF(OR(L$2="",COUNT(الرصد!$C13:$Y13)=0),"",IFERROR(SUMIF(معالجة!$B$3:$X$3,L$2,الرصد!$C13:$Y13)/SUMIF(معالجة!$B$3:$X$3,L$2,معالجة!$B$4:$X$4),""))</f>
        <v/>
      </c>
      <c r="M13" s="51" t="str">
        <f>IF(OR(M$2="",COUNT(الرصد!$C13:$Y13)=0),"",IFERROR(SUMIF(معالجة!$B$3:$X$3,M$2,الرصد!$C13:$Y13)/SUMIF(معالجة!$B$3:$X$3,M$2,معالجة!$B$4:$X$4),""))</f>
        <v/>
      </c>
      <c r="N13" s="51" t="str">
        <f>IF(OR(N$2="",COUNT(الرصد!$C13:$Y13)=0),"",IFERROR(SUMIF(معالجة!$B$3:$X$3,N$2,الرصد!$C13:$Y13)/SUMIF(معالجة!$B$3:$X$3,N$2,معالجة!$B$4:$X$4),""))</f>
        <v/>
      </c>
      <c r="O13" s="51" t="str">
        <f>IF(OR(O$2="",COUNT(الرصد!$C13:$Y13)=0),"",IFERROR(SUMIF(معالجة!$B$3:$X$3,O$2,الرصد!$C13:$Y13)/SUMIF(معالجة!$B$3:$X$3,O$2,معالجة!$B$4:$X$4),""))</f>
        <v/>
      </c>
      <c r="P13" s="51" t="str">
        <f>IF(OR(P$2="",COUNT(الرصد!$C13:$Y13)=0),"",IFERROR(SUMIF(معالجة!$B$3:$X$3,P$2,الرصد!$C13:$Y13)/SUMIF(معالجة!$B$3:$X$3,P$2,معالجة!$B$4:$X$4),""))</f>
        <v/>
      </c>
      <c r="Q13" s="51" t="str">
        <f>IF(OR(Q$2="",COUNT(الرصد!$C13:$Y13)=0),"",IFERROR(SUMIF(معالجة!$B$3:$X$3,Q$2,الرصد!$C13:$Y13)/SUMIF(معالجة!$B$3:$X$3,Q$2,معالجة!$B$4:$X$4),""))</f>
        <v/>
      </c>
      <c r="R13" s="51" t="str">
        <f>IF(OR(R$2="",COUNT(الرصد!$C13:$Y13)=0),"",IFERROR(SUMIF(معالجة!$B$3:$X$3,R$2,الرصد!$C13:$Y13)/SUMIF(معالجة!$B$3:$X$3,R$2,معالجة!$B$4:$X$4),""))</f>
        <v/>
      </c>
      <c r="S13" s="51" t="str">
        <f>IF(OR(S$2="",COUNT(الرصد!$C13:$Y13)=0),"",IFERROR(SUMIF(معالجة!$B$3:$X$3,S$2,الرصد!$C13:$Y13)/SUMIF(معالجة!$B$3:$X$3,S$2,معالجة!$B$4:$X$4),""))</f>
        <v/>
      </c>
      <c r="T13" s="51" t="str">
        <f>IF(OR(T$2="",COUNT(الرصد!$C13:$Y13)=0),"",IFERROR(SUMIF(معالجة!$B$3:$X$3,T$2,الرصد!$C13:$Y13)/SUMIF(معالجة!$B$3:$X$3,T$2,معالجة!$B$4:$X$4),""))</f>
        <v/>
      </c>
      <c r="U13" s="51" t="str">
        <f>IF(OR(U$2="",COUNT(الرصد!$C13:$Y13)=0),"",IFERROR(SUMIF(معالجة!$B$3:$X$3,U$2,الرصد!$C13:$Y13)/SUMIF(معالجة!$B$3:$X$3,U$2,معالجة!$B$4:$X$4),""))</f>
        <v/>
      </c>
      <c r="V13" s="51" t="str">
        <f>IF(OR(V$2="",COUNT(الرصد!$C13:$Y13)=0),"",IFERROR(SUMIF(معالجة!$B$3:$X$3,V$2,الرصد!$C13:$Y13)/SUMIF(معالجة!$B$3:$X$3,V$2,معالجة!$B$4:$X$4),""))</f>
        <v/>
      </c>
      <c r="W13" s="51" t="str">
        <f>IFERROR(C13/المهارات!$G$27,"")</f>
        <v/>
      </c>
    </row>
    <row r="14" spans="1:24" ht="14.25" customHeight="1">
      <c r="A14" s="46" t="s">
        <v>83</v>
      </c>
      <c r="B14" s="46" t="s">
        <v>18</v>
      </c>
      <c r="C14" s="52" t="str">
        <f>IF(COUNT(الرصد!C14:Y14)=0,"",SUM(الرصد!C14:Y14))</f>
        <v/>
      </c>
      <c r="D14" s="51" t="str">
        <f>IF(OR(D$2="",COUNT(الرصد!$C14:$Y14)=0),"",IFERROR(SUMIF(معالجة!$B$3:$X$3,D$2,الرصد!$C14:$Y14)/SUMIF(معالجة!$B$3:$X$3,D$2,معالجة!$B$4:$X$4),""))</f>
        <v/>
      </c>
      <c r="E14" s="51" t="str">
        <f>IF(OR(E$2="",COUNT(الرصد!$C14:$Y14)=0),"",IFERROR(SUMIF(معالجة!$B$3:$X$3,E$2,الرصد!$C14:$Y14)/SUMIF(معالجة!$B$3:$X$3,E$2,معالجة!$B$4:$X$4),""))</f>
        <v/>
      </c>
      <c r="F14" s="51" t="str">
        <f>IF(OR(F$2="",COUNT(الرصد!$C14:$Y14)=0),"",IFERROR(SUMIF(معالجة!$B$3:$X$3,F$2,الرصد!$C14:$Y14)/SUMIF(معالجة!$B$3:$X$3,F$2,معالجة!$B$4:$X$4),""))</f>
        <v/>
      </c>
      <c r="G14" s="51" t="str">
        <f>IF(OR(G$2="",COUNT(الرصد!$C14:$Y14)=0),"",IFERROR(SUMIF(معالجة!$B$3:$X$3,G$2,الرصد!$C14:$Y14)/SUMIF(معالجة!$B$3:$X$3,G$2,معالجة!$B$4:$X$4),""))</f>
        <v/>
      </c>
      <c r="H14" s="51" t="str">
        <f>IF(OR(H$2="",COUNT(الرصد!$C14:$Y14)=0),"",IFERROR(SUMIF(معالجة!$B$3:$X$3,H$2,الرصد!$C14:$Y14)/SUMIF(معالجة!$B$3:$X$3,H$2,معالجة!$B$4:$X$4),""))</f>
        <v/>
      </c>
      <c r="I14" s="51" t="str">
        <f>IF(OR(I$2="",COUNT(الرصد!$C14:$Y14)=0),"",IFERROR(SUMIF(معالجة!$B$3:$X$3,I$2,الرصد!$C14:$Y14)/SUMIF(معالجة!$B$3:$X$3,I$2,معالجة!$B$4:$X$4),""))</f>
        <v/>
      </c>
      <c r="J14" s="51" t="str">
        <f>IF(OR(J$2="",COUNT(الرصد!$C14:$Y14)=0),"",IFERROR(SUMIF(معالجة!$B$3:$X$3,J$2,الرصد!$C14:$Y14)/SUMIF(معالجة!$B$3:$X$3,J$2,معالجة!$B$4:$X$4),""))</f>
        <v/>
      </c>
      <c r="K14" s="51" t="str">
        <f>IF(OR(K$2="",COUNT(الرصد!$C14:$Y14)=0),"",IFERROR(SUMIF(معالجة!$B$3:$X$3,K$2,الرصد!$C14:$Y14)/SUMIF(معالجة!$B$3:$X$3,K$2,معالجة!$B$4:$X$4),""))</f>
        <v/>
      </c>
      <c r="L14" s="51" t="str">
        <f>IF(OR(L$2="",COUNT(الرصد!$C14:$Y14)=0),"",IFERROR(SUMIF(معالجة!$B$3:$X$3,L$2,الرصد!$C14:$Y14)/SUMIF(معالجة!$B$3:$X$3,L$2,معالجة!$B$4:$X$4),""))</f>
        <v/>
      </c>
      <c r="M14" s="51" t="str">
        <f>IF(OR(M$2="",COUNT(الرصد!$C14:$Y14)=0),"",IFERROR(SUMIF(معالجة!$B$3:$X$3,M$2,الرصد!$C14:$Y14)/SUMIF(معالجة!$B$3:$X$3,M$2,معالجة!$B$4:$X$4),""))</f>
        <v/>
      </c>
      <c r="N14" s="51" t="str">
        <f>IF(OR(N$2="",COUNT(الرصد!$C14:$Y14)=0),"",IFERROR(SUMIF(معالجة!$B$3:$X$3,N$2,الرصد!$C14:$Y14)/SUMIF(معالجة!$B$3:$X$3,N$2,معالجة!$B$4:$X$4),""))</f>
        <v/>
      </c>
      <c r="O14" s="51" t="str">
        <f>IF(OR(O$2="",COUNT(الرصد!$C14:$Y14)=0),"",IFERROR(SUMIF(معالجة!$B$3:$X$3,O$2,الرصد!$C14:$Y14)/SUMIF(معالجة!$B$3:$X$3,O$2,معالجة!$B$4:$X$4),""))</f>
        <v/>
      </c>
      <c r="P14" s="51" t="str">
        <f>IF(OR(P$2="",COUNT(الرصد!$C14:$Y14)=0),"",IFERROR(SUMIF(معالجة!$B$3:$X$3,P$2,الرصد!$C14:$Y14)/SUMIF(معالجة!$B$3:$X$3,P$2,معالجة!$B$4:$X$4),""))</f>
        <v/>
      </c>
      <c r="Q14" s="51" t="str">
        <f>IF(OR(Q$2="",COUNT(الرصد!$C14:$Y14)=0),"",IFERROR(SUMIF(معالجة!$B$3:$X$3,Q$2,الرصد!$C14:$Y14)/SUMIF(معالجة!$B$3:$X$3,Q$2,معالجة!$B$4:$X$4),""))</f>
        <v/>
      </c>
      <c r="R14" s="51" t="str">
        <f>IF(OR(R$2="",COUNT(الرصد!$C14:$Y14)=0),"",IFERROR(SUMIF(معالجة!$B$3:$X$3,R$2,الرصد!$C14:$Y14)/SUMIF(معالجة!$B$3:$X$3,R$2,معالجة!$B$4:$X$4),""))</f>
        <v/>
      </c>
      <c r="S14" s="51" t="str">
        <f>IF(OR(S$2="",COUNT(الرصد!$C14:$Y14)=0),"",IFERROR(SUMIF(معالجة!$B$3:$X$3,S$2,الرصد!$C14:$Y14)/SUMIF(معالجة!$B$3:$X$3,S$2,معالجة!$B$4:$X$4),""))</f>
        <v/>
      </c>
      <c r="T14" s="51" t="str">
        <f>IF(OR(T$2="",COUNT(الرصد!$C14:$Y14)=0),"",IFERROR(SUMIF(معالجة!$B$3:$X$3,T$2,الرصد!$C14:$Y14)/SUMIF(معالجة!$B$3:$X$3,T$2,معالجة!$B$4:$X$4),""))</f>
        <v/>
      </c>
      <c r="U14" s="51" t="str">
        <f>IF(OR(U$2="",COUNT(الرصد!$C14:$Y14)=0),"",IFERROR(SUMIF(معالجة!$B$3:$X$3,U$2,الرصد!$C14:$Y14)/SUMIF(معالجة!$B$3:$X$3,U$2,معالجة!$B$4:$X$4),""))</f>
        <v/>
      </c>
      <c r="V14" s="51" t="str">
        <f>IF(OR(V$2="",COUNT(الرصد!$C14:$Y14)=0),"",IFERROR(SUMIF(معالجة!$B$3:$X$3,V$2,الرصد!$C14:$Y14)/SUMIF(معالجة!$B$3:$X$3,V$2,معالجة!$B$4:$X$4),""))</f>
        <v/>
      </c>
      <c r="W14" s="51" t="str">
        <f>IFERROR(C14/المهارات!$G$27,"")</f>
        <v/>
      </c>
    </row>
    <row r="15" spans="1:24" ht="14.25" customHeight="1">
      <c r="A15" s="42" t="s">
        <v>84</v>
      </c>
      <c r="B15" s="42" t="s">
        <v>18</v>
      </c>
      <c r="C15" s="50" t="str">
        <f>IF(COUNT(الرصد!C15:Y15)=0,"",SUM(الرصد!C15:Y15))</f>
        <v/>
      </c>
      <c r="D15" s="51" t="str">
        <f>IF(OR(D$2="",COUNT(الرصد!$C15:$Y15)=0),"",IFERROR(SUMIF(معالجة!$B$3:$X$3,D$2,الرصد!$C15:$Y15)/SUMIF(معالجة!$B$3:$X$3,D$2,معالجة!$B$4:$X$4),""))</f>
        <v/>
      </c>
      <c r="E15" s="51" t="str">
        <f>IF(OR(E$2="",COUNT(الرصد!$C15:$Y15)=0),"",IFERROR(SUMIF(معالجة!$B$3:$X$3,E$2,الرصد!$C15:$Y15)/SUMIF(معالجة!$B$3:$X$3,E$2,معالجة!$B$4:$X$4),""))</f>
        <v/>
      </c>
      <c r="F15" s="51" t="str">
        <f>IF(OR(F$2="",COUNT(الرصد!$C15:$Y15)=0),"",IFERROR(SUMIF(معالجة!$B$3:$X$3,F$2,الرصد!$C15:$Y15)/SUMIF(معالجة!$B$3:$X$3,F$2,معالجة!$B$4:$X$4),""))</f>
        <v/>
      </c>
      <c r="G15" s="51" t="str">
        <f>IF(OR(G$2="",COUNT(الرصد!$C15:$Y15)=0),"",IFERROR(SUMIF(معالجة!$B$3:$X$3,G$2,الرصد!$C15:$Y15)/SUMIF(معالجة!$B$3:$X$3,G$2,معالجة!$B$4:$X$4),""))</f>
        <v/>
      </c>
      <c r="H15" s="51" t="str">
        <f>IF(OR(H$2="",COUNT(الرصد!$C15:$Y15)=0),"",IFERROR(SUMIF(معالجة!$B$3:$X$3,H$2,الرصد!$C15:$Y15)/SUMIF(معالجة!$B$3:$X$3,H$2,معالجة!$B$4:$X$4),""))</f>
        <v/>
      </c>
      <c r="I15" s="51" t="str">
        <f>IF(OR(I$2="",COUNT(الرصد!$C15:$Y15)=0),"",IFERROR(SUMIF(معالجة!$B$3:$X$3,I$2,الرصد!$C15:$Y15)/SUMIF(معالجة!$B$3:$X$3,I$2,معالجة!$B$4:$X$4),""))</f>
        <v/>
      </c>
      <c r="J15" s="51" t="str">
        <f>IF(OR(J$2="",COUNT(الرصد!$C15:$Y15)=0),"",IFERROR(SUMIF(معالجة!$B$3:$X$3,J$2,الرصد!$C15:$Y15)/SUMIF(معالجة!$B$3:$X$3,J$2,معالجة!$B$4:$X$4),""))</f>
        <v/>
      </c>
      <c r="K15" s="51" t="str">
        <f>IF(OR(K$2="",COUNT(الرصد!$C15:$Y15)=0),"",IFERROR(SUMIF(معالجة!$B$3:$X$3,K$2,الرصد!$C15:$Y15)/SUMIF(معالجة!$B$3:$X$3,K$2,معالجة!$B$4:$X$4),""))</f>
        <v/>
      </c>
      <c r="L15" s="51" t="str">
        <f>IF(OR(L$2="",COUNT(الرصد!$C15:$Y15)=0),"",IFERROR(SUMIF(معالجة!$B$3:$X$3,L$2,الرصد!$C15:$Y15)/SUMIF(معالجة!$B$3:$X$3,L$2,معالجة!$B$4:$X$4),""))</f>
        <v/>
      </c>
      <c r="M15" s="51" t="str">
        <f>IF(OR(M$2="",COUNT(الرصد!$C15:$Y15)=0),"",IFERROR(SUMIF(معالجة!$B$3:$X$3,M$2,الرصد!$C15:$Y15)/SUMIF(معالجة!$B$3:$X$3,M$2,معالجة!$B$4:$X$4),""))</f>
        <v/>
      </c>
      <c r="N15" s="51" t="str">
        <f>IF(OR(N$2="",COUNT(الرصد!$C15:$Y15)=0),"",IFERROR(SUMIF(معالجة!$B$3:$X$3,N$2,الرصد!$C15:$Y15)/SUMIF(معالجة!$B$3:$X$3,N$2,معالجة!$B$4:$X$4),""))</f>
        <v/>
      </c>
      <c r="O15" s="51" t="str">
        <f>IF(OR(O$2="",COUNT(الرصد!$C15:$Y15)=0),"",IFERROR(SUMIF(معالجة!$B$3:$X$3,O$2,الرصد!$C15:$Y15)/SUMIF(معالجة!$B$3:$X$3,O$2,معالجة!$B$4:$X$4),""))</f>
        <v/>
      </c>
      <c r="P15" s="51" t="str">
        <f>IF(OR(P$2="",COUNT(الرصد!$C15:$Y15)=0),"",IFERROR(SUMIF(معالجة!$B$3:$X$3,P$2,الرصد!$C15:$Y15)/SUMIF(معالجة!$B$3:$X$3,P$2,معالجة!$B$4:$X$4),""))</f>
        <v/>
      </c>
      <c r="Q15" s="51" t="str">
        <f>IF(OR(Q$2="",COUNT(الرصد!$C15:$Y15)=0),"",IFERROR(SUMIF(معالجة!$B$3:$X$3,Q$2,الرصد!$C15:$Y15)/SUMIF(معالجة!$B$3:$X$3,Q$2,معالجة!$B$4:$X$4),""))</f>
        <v/>
      </c>
      <c r="R15" s="51" t="str">
        <f>IF(OR(R$2="",COUNT(الرصد!$C15:$Y15)=0),"",IFERROR(SUMIF(معالجة!$B$3:$X$3,R$2,الرصد!$C15:$Y15)/SUMIF(معالجة!$B$3:$X$3,R$2,معالجة!$B$4:$X$4),""))</f>
        <v/>
      </c>
      <c r="S15" s="51" t="str">
        <f>IF(OR(S$2="",COUNT(الرصد!$C15:$Y15)=0),"",IFERROR(SUMIF(معالجة!$B$3:$X$3,S$2,الرصد!$C15:$Y15)/SUMIF(معالجة!$B$3:$X$3,S$2,معالجة!$B$4:$X$4),""))</f>
        <v/>
      </c>
      <c r="T15" s="51" t="str">
        <f>IF(OR(T$2="",COUNT(الرصد!$C15:$Y15)=0),"",IFERROR(SUMIF(معالجة!$B$3:$X$3,T$2,الرصد!$C15:$Y15)/SUMIF(معالجة!$B$3:$X$3,T$2,معالجة!$B$4:$X$4),""))</f>
        <v/>
      </c>
      <c r="U15" s="51" t="str">
        <f>IF(OR(U$2="",COUNT(الرصد!$C15:$Y15)=0),"",IFERROR(SUMIF(معالجة!$B$3:$X$3,U$2,الرصد!$C15:$Y15)/SUMIF(معالجة!$B$3:$X$3,U$2,معالجة!$B$4:$X$4),""))</f>
        <v/>
      </c>
      <c r="V15" s="51" t="str">
        <f>IF(OR(V$2="",COUNT(الرصد!$C15:$Y15)=0),"",IFERROR(SUMIF(معالجة!$B$3:$X$3,V$2,الرصد!$C15:$Y15)/SUMIF(معالجة!$B$3:$X$3,V$2,معالجة!$B$4:$X$4),""))</f>
        <v/>
      </c>
      <c r="W15" s="51" t="str">
        <f>IFERROR(C15/المهارات!$G$27,"")</f>
        <v/>
      </c>
    </row>
    <row r="16" spans="1:24" ht="14.25" customHeight="1">
      <c r="A16" s="46" t="s">
        <v>85</v>
      </c>
      <c r="B16" s="46" t="s">
        <v>18</v>
      </c>
      <c r="C16" s="52" t="str">
        <f>IF(COUNT(الرصد!C16:Y16)=0,"",SUM(الرصد!C16:Y16))</f>
        <v/>
      </c>
      <c r="D16" s="51" t="str">
        <f>IF(OR(D$2="",COUNT(الرصد!$C16:$Y16)=0),"",IFERROR(SUMIF(معالجة!$B$3:$X$3,D$2,الرصد!$C16:$Y16)/SUMIF(معالجة!$B$3:$X$3,D$2,معالجة!$B$4:$X$4),""))</f>
        <v/>
      </c>
      <c r="E16" s="51" t="str">
        <f>IF(OR(E$2="",COUNT(الرصد!$C16:$Y16)=0),"",IFERROR(SUMIF(معالجة!$B$3:$X$3,E$2,الرصد!$C16:$Y16)/SUMIF(معالجة!$B$3:$X$3,E$2,معالجة!$B$4:$X$4),""))</f>
        <v/>
      </c>
      <c r="F16" s="51" t="str">
        <f>IF(OR(F$2="",COUNT(الرصد!$C16:$Y16)=0),"",IFERROR(SUMIF(معالجة!$B$3:$X$3,F$2,الرصد!$C16:$Y16)/SUMIF(معالجة!$B$3:$X$3,F$2,معالجة!$B$4:$X$4),""))</f>
        <v/>
      </c>
      <c r="G16" s="51" t="str">
        <f>IF(OR(G$2="",COUNT(الرصد!$C16:$Y16)=0),"",IFERROR(SUMIF(معالجة!$B$3:$X$3,G$2,الرصد!$C16:$Y16)/SUMIF(معالجة!$B$3:$X$3,G$2,معالجة!$B$4:$X$4),""))</f>
        <v/>
      </c>
      <c r="H16" s="51" t="str">
        <f>IF(OR(H$2="",COUNT(الرصد!$C16:$Y16)=0),"",IFERROR(SUMIF(معالجة!$B$3:$X$3,H$2,الرصد!$C16:$Y16)/SUMIF(معالجة!$B$3:$X$3,H$2,معالجة!$B$4:$X$4),""))</f>
        <v/>
      </c>
      <c r="I16" s="51" t="str">
        <f>IF(OR(I$2="",COUNT(الرصد!$C16:$Y16)=0),"",IFERROR(SUMIF(معالجة!$B$3:$X$3,I$2,الرصد!$C16:$Y16)/SUMIF(معالجة!$B$3:$X$3,I$2,معالجة!$B$4:$X$4),""))</f>
        <v/>
      </c>
      <c r="J16" s="51" t="str">
        <f>IF(OR(J$2="",COUNT(الرصد!$C16:$Y16)=0),"",IFERROR(SUMIF(معالجة!$B$3:$X$3,J$2,الرصد!$C16:$Y16)/SUMIF(معالجة!$B$3:$X$3,J$2,معالجة!$B$4:$X$4),""))</f>
        <v/>
      </c>
      <c r="K16" s="51" t="str">
        <f>IF(OR(K$2="",COUNT(الرصد!$C16:$Y16)=0),"",IFERROR(SUMIF(معالجة!$B$3:$X$3,K$2,الرصد!$C16:$Y16)/SUMIF(معالجة!$B$3:$X$3,K$2,معالجة!$B$4:$X$4),""))</f>
        <v/>
      </c>
      <c r="L16" s="51" t="str">
        <f>IF(OR(L$2="",COUNT(الرصد!$C16:$Y16)=0),"",IFERROR(SUMIF(معالجة!$B$3:$X$3,L$2,الرصد!$C16:$Y16)/SUMIF(معالجة!$B$3:$X$3,L$2,معالجة!$B$4:$X$4),""))</f>
        <v/>
      </c>
      <c r="M16" s="51" t="str">
        <f>IF(OR(M$2="",COUNT(الرصد!$C16:$Y16)=0),"",IFERROR(SUMIF(معالجة!$B$3:$X$3,M$2,الرصد!$C16:$Y16)/SUMIF(معالجة!$B$3:$X$3,M$2,معالجة!$B$4:$X$4),""))</f>
        <v/>
      </c>
      <c r="N16" s="51" t="str">
        <f>IF(OR(N$2="",COUNT(الرصد!$C16:$Y16)=0),"",IFERROR(SUMIF(معالجة!$B$3:$X$3,N$2,الرصد!$C16:$Y16)/SUMIF(معالجة!$B$3:$X$3,N$2,معالجة!$B$4:$X$4),""))</f>
        <v/>
      </c>
      <c r="O16" s="51" t="str">
        <f>IF(OR(O$2="",COUNT(الرصد!$C16:$Y16)=0),"",IFERROR(SUMIF(معالجة!$B$3:$X$3,O$2,الرصد!$C16:$Y16)/SUMIF(معالجة!$B$3:$X$3,O$2,معالجة!$B$4:$X$4),""))</f>
        <v/>
      </c>
      <c r="P16" s="51" t="str">
        <f>IF(OR(P$2="",COUNT(الرصد!$C16:$Y16)=0),"",IFERROR(SUMIF(معالجة!$B$3:$X$3,P$2,الرصد!$C16:$Y16)/SUMIF(معالجة!$B$3:$X$3,P$2,معالجة!$B$4:$X$4),""))</f>
        <v/>
      </c>
      <c r="Q16" s="51" t="str">
        <f>IF(OR(Q$2="",COUNT(الرصد!$C16:$Y16)=0),"",IFERROR(SUMIF(معالجة!$B$3:$X$3,Q$2,الرصد!$C16:$Y16)/SUMIF(معالجة!$B$3:$X$3,Q$2,معالجة!$B$4:$X$4),""))</f>
        <v/>
      </c>
      <c r="R16" s="51" t="str">
        <f>IF(OR(R$2="",COUNT(الرصد!$C16:$Y16)=0),"",IFERROR(SUMIF(معالجة!$B$3:$X$3,R$2,الرصد!$C16:$Y16)/SUMIF(معالجة!$B$3:$X$3,R$2,معالجة!$B$4:$X$4),""))</f>
        <v/>
      </c>
      <c r="S16" s="51" t="str">
        <f>IF(OR(S$2="",COUNT(الرصد!$C16:$Y16)=0),"",IFERROR(SUMIF(معالجة!$B$3:$X$3,S$2,الرصد!$C16:$Y16)/SUMIF(معالجة!$B$3:$X$3,S$2,معالجة!$B$4:$X$4),""))</f>
        <v/>
      </c>
      <c r="T16" s="51" t="str">
        <f>IF(OR(T$2="",COUNT(الرصد!$C16:$Y16)=0),"",IFERROR(SUMIF(معالجة!$B$3:$X$3,T$2,الرصد!$C16:$Y16)/SUMIF(معالجة!$B$3:$X$3,T$2,معالجة!$B$4:$X$4),""))</f>
        <v/>
      </c>
      <c r="U16" s="51" t="str">
        <f>IF(OR(U$2="",COUNT(الرصد!$C16:$Y16)=0),"",IFERROR(SUMIF(معالجة!$B$3:$X$3,U$2,الرصد!$C16:$Y16)/SUMIF(معالجة!$B$3:$X$3,U$2,معالجة!$B$4:$X$4),""))</f>
        <v/>
      </c>
      <c r="V16" s="51" t="str">
        <f>IF(OR(V$2="",COUNT(الرصد!$C16:$Y16)=0),"",IFERROR(SUMIF(معالجة!$B$3:$X$3,V$2,الرصد!$C16:$Y16)/SUMIF(معالجة!$B$3:$X$3,V$2,معالجة!$B$4:$X$4),""))</f>
        <v/>
      </c>
      <c r="W16" s="51" t="str">
        <f>IFERROR(C16/المهارات!$G$27,"")</f>
        <v/>
      </c>
    </row>
    <row r="17" spans="1:23" ht="14.25" customHeight="1">
      <c r="A17" s="42" t="s">
        <v>86</v>
      </c>
      <c r="B17" s="42" t="s">
        <v>18</v>
      </c>
      <c r="C17" s="50" t="str">
        <f>IF(COUNT(الرصد!C17:Y17)=0,"",SUM(الرصد!C17:Y17))</f>
        <v/>
      </c>
      <c r="D17" s="51" t="str">
        <f>IF(OR(D$2="",COUNT(الرصد!$C17:$Y17)=0),"",IFERROR(SUMIF(معالجة!$B$3:$X$3,D$2,الرصد!$C17:$Y17)/SUMIF(معالجة!$B$3:$X$3,D$2,معالجة!$B$4:$X$4),""))</f>
        <v/>
      </c>
      <c r="E17" s="51" t="str">
        <f>IF(OR(E$2="",COUNT(الرصد!$C17:$Y17)=0),"",IFERROR(SUMIF(معالجة!$B$3:$X$3,E$2,الرصد!$C17:$Y17)/SUMIF(معالجة!$B$3:$X$3,E$2,معالجة!$B$4:$X$4),""))</f>
        <v/>
      </c>
      <c r="F17" s="51" t="str">
        <f>IF(OR(F$2="",COUNT(الرصد!$C17:$Y17)=0),"",IFERROR(SUMIF(معالجة!$B$3:$X$3,F$2,الرصد!$C17:$Y17)/SUMIF(معالجة!$B$3:$X$3,F$2,معالجة!$B$4:$X$4),""))</f>
        <v/>
      </c>
      <c r="G17" s="51" t="str">
        <f>IF(OR(G$2="",COUNT(الرصد!$C17:$Y17)=0),"",IFERROR(SUMIF(معالجة!$B$3:$X$3,G$2,الرصد!$C17:$Y17)/SUMIF(معالجة!$B$3:$X$3,G$2,معالجة!$B$4:$X$4),""))</f>
        <v/>
      </c>
      <c r="H17" s="51" t="str">
        <f>IF(OR(H$2="",COUNT(الرصد!$C17:$Y17)=0),"",IFERROR(SUMIF(معالجة!$B$3:$X$3,H$2,الرصد!$C17:$Y17)/SUMIF(معالجة!$B$3:$X$3,H$2,معالجة!$B$4:$X$4),""))</f>
        <v/>
      </c>
      <c r="I17" s="51" t="str">
        <f>IF(OR(I$2="",COUNT(الرصد!$C17:$Y17)=0),"",IFERROR(SUMIF(معالجة!$B$3:$X$3,I$2,الرصد!$C17:$Y17)/SUMIF(معالجة!$B$3:$X$3,I$2,معالجة!$B$4:$X$4),""))</f>
        <v/>
      </c>
      <c r="J17" s="51" t="str">
        <f>IF(OR(J$2="",COUNT(الرصد!$C17:$Y17)=0),"",IFERROR(SUMIF(معالجة!$B$3:$X$3,J$2,الرصد!$C17:$Y17)/SUMIF(معالجة!$B$3:$X$3,J$2,معالجة!$B$4:$X$4),""))</f>
        <v/>
      </c>
      <c r="K17" s="51" t="str">
        <f>IF(OR(K$2="",COUNT(الرصد!$C17:$Y17)=0),"",IFERROR(SUMIF(معالجة!$B$3:$X$3,K$2,الرصد!$C17:$Y17)/SUMIF(معالجة!$B$3:$X$3,K$2,معالجة!$B$4:$X$4),""))</f>
        <v/>
      </c>
      <c r="L17" s="51" t="str">
        <f>IF(OR(L$2="",COUNT(الرصد!$C17:$Y17)=0),"",IFERROR(SUMIF(معالجة!$B$3:$X$3,L$2,الرصد!$C17:$Y17)/SUMIF(معالجة!$B$3:$X$3,L$2,معالجة!$B$4:$X$4),""))</f>
        <v/>
      </c>
      <c r="M17" s="51" t="str">
        <f>IF(OR(M$2="",COUNT(الرصد!$C17:$Y17)=0),"",IFERROR(SUMIF(معالجة!$B$3:$X$3,M$2,الرصد!$C17:$Y17)/SUMIF(معالجة!$B$3:$X$3,M$2,معالجة!$B$4:$X$4),""))</f>
        <v/>
      </c>
      <c r="N17" s="51" t="str">
        <f>IF(OR(N$2="",COUNT(الرصد!$C17:$Y17)=0),"",IFERROR(SUMIF(معالجة!$B$3:$X$3,N$2,الرصد!$C17:$Y17)/SUMIF(معالجة!$B$3:$X$3,N$2,معالجة!$B$4:$X$4),""))</f>
        <v/>
      </c>
      <c r="O17" s="51" t="str">
        <f>IF(OR(O$2="",COUNT(الرصد!$C17:$Y17)=0),"",IFERROR(SUMIF(معالجة!$B$3:$X$3,O$2,الرصد!$C17:$Y17)/SUMIF(معالجة!$B$3:$X$3,O$2,معالجة!$B$4:$X$4),""))</f>
        <v/>
      </c>
      <c r="P17" s="51" t="str">
        <f>IF(OR(P$2="",COUNT(الرصد!$C17:$Y17)=0),"",IFERROR(SUMIF(معالجة!$B$3:$X$3,P$2,الرصد!$C17:$Y17)/SUMIF(معالجة!$B$3:$X$3,P$2,معالجة!$B$4:$X$4),""))</f>
        <v/>
      </c>
      <c r="Q17" s="51" t="str">
        <f>IF(OR(Q$2="",COUNT(الرصد!$C17:$Y17)=0),"",IFERROR(SUMIF(معالجة!$B$3:$X$3,Q$2,الرصد!$C17:$Y17)/SUMIF(معالجة!$B$3:$X$3,Q$2,معالجة!$B$4:$X$4),""))</f>
        <v/>
      </c>
      <c r="R17" s="51" t="str">
        <f>IF(OR(R$2="",COUNT(الرصد!$C17:$Y17)=0),"",IFERROR(SUMIF(معالجة!$B$3:$X$3,R$2,الرصد!$C17:$Y17)/SUMIF(معالجة!$B$3:$X$3,R$2,معالجة!$B$4:$X$4),""))</f>
        <v/>
      </c>
      <c r="S17" s="51" t="str">
        <f>IF(OR(S$2="",COUNT(الرصد!$C17:$Y17)=0),"",IFERROR(SUMIF(معالجة!$B$3:$X$3,S$2,الرصد!$C17:$Y17)/SUMIF(معالجة!$B$3:$X$3,S$2,معالجة!$B$4:$X$4),""))</f>
        <v/>
      </c>
      <c r="T17" s="51" t="str">
        <f>IF(OR(T$2="",COUNT(الرصد!$C17:$Y17)=0),"",IFERROR(SUMIF(معالجة!$B$3:$X$3,T$2,الرصد!$C17:$Y17)/SUMIF(معالجة!$B$3:$X$3,T$2,معالجة!$B$4:$X$4),""))</f>
        <v/>
      </c>
      <c r="U17" s="51" t="str">
        <f>IF(OR(U$2="",COUNT(الرصد!$C17:$Y17)=0),"",IFERROR(SUMIF(معالجة!$B$3:$X$3,U$2,الرصد!$C17:$Y17)/SUMIF(معالجة!$B$3:$X$3,U$2,معالجة!$B$4:$X$4),""))</f>
        <v/>
      </c>
      <c r="V17" s="51" t="str">
        <f>IF(OR(V$2="",COUNT(الرصد!$C17:$Y17)=0),"",IFERROR(SUMIF(معالجة!$B$3:$X$3,V$2,الرصد!$C17:$Y17)/SUMIF(معالجة!$B$3:$X$3,V$2,معالجة!$B$4:$X$4),""))</f>
        <v/>
      </c>
      <c r="W17" s="51" t="str">
        <f>IFERROR(C17/المهارات!$G$27,"")</f>
        <v/>
      </c>
    </row>
    <row r="18" spans="1:23" ht="14.25" customHeight="1">
      <c r="A18" s="46" t="s">
        <v>87</v>
      </c>
      <c r="B18" s="46" t="s">
        <v>18</v>
      </c>
      <c r="C18" s="52" t="str">
        <f>IF(COUNT(الرصد!C18:Y18)=0,"",SUM(الرصد!C18:Y18))</f>
        <v/>
      </c>
      <c r="D18" s="51" t="str">
        <f>IF(OR(D$2="",COUNT(الرصد!$C18:$Y18)=0),"",IFERROR(SUMIF(معالجة!$B$3:$X$3,D$2,الرصد!$C18:$Y18)/SUMIF(معالجة!$B$3:$X$3,D$2,معالجة!$B$4:$X$4),""))</f>
        <v/>
      </c>
      <c r="E18" s="51" t="str">
        <f>IF(OR(E$2="",COUNT(الرصد!$C18:$Y18)=0),"",IFERROR(SUMIF(معالجة!$B$3:$X$3,E$2,الرصد!$C18:$Y18)/SUMIF(معالجة!$B$3:$X$3,E$2,معالجة!$B$4:$X$4),""))</f>
        <v/>
      </c>
      <c r="F18" s="51" t="str">
        <f>IF(OR(F$2="",COUNT(الرصد!$C18:$Y18)=0),"",IFERROR(SUMIF(معالجة!$B$3:$X$3,F$2,الرصد!$C18:$Y18)/SUMIF(معالجة!$B$3:$X$3,F$2,معالجة!$B$4:$X$4),""))</f>
        <v/>
      </c>
      <c r="G18" s="51" t="str">
        <f>IF(OR(G$2="",COUNT(الرصد!$C18:$Y18)=0),"",IFERROR(SUMIF(معالجة!$B$3:$X$3,G$2,الرصد!$C18:$Y18)/SUMIF(معالجة!$B$3:$X$3,G$2,معالجة!$B$4:$X$4),""))</f>
        <v/>
      </c>
      <c r="H18" s="51" t="str">
        <f>IF(OR(H$2="",COUNT(الرصد!$C18:$Y18)=0),"",IFERROR(SUMIF(معالجة!$B$3:$X$3,H$2,الرصد!$C18:$Y18)/SUMIF(معالجة!$B$3:$X$3,H$2,معالجة!$B$4:$X$4),""))</f>
        <v/>
      </c>
      <c r="I18" s="51" t="str">
        <f>IF(OR(I$2="",COUNT(الرصد!$C18:$Y18)=0),"",IFERROR(SUMIF(معالجة!$B$3:$X$3,I$2,الرصد!$C18:$Y18)/SUMIF(معالجة!$B$3:$X$3,I$2,معالجة!$B$4:$X$4),""))</f>
        <v/>
      </c>
      <c r="J18" s="51" t="str">
        <f>IF(OR(J$2="",COUNT(الرصد!$C18:$Y18)=0),"",IFERROR(SUMIF(معالجة!$B$3:$X$3,J$2,الرصد!$C18:$Y18)/SUMIF(معالجة!$B$3:$X$3,J$2,معالجة!$B$4:$X$4),""))</f>
        <v/>
      </c>
      <c r="K18" s="51" t="str">
        <f>IF(OR(K$2="",COUNT(الرصد!$C18:$Y18)=0),"",IFERROR(SUMIF(معالجة!$B$3:$X$3,K$2,الرصد!$C18:$Y18)/SUMIF(معالجة!$B$3:$X$3,K$2,معالجة!$B$4:$X$4),""))</f>
        <v/>
      </c>
      <c r="L18" s="51" t="str">
        <f>IF(OR(L$2="",COUNT(الرصد!$C18:$Y18)=0),"",IFERROR(SUMIF(معالجة!$B$3:$X$3,L$2,الرصد!$C18:$Y18)/SUMIF(معالجة!$B$3:$X$3,L$2,معالجة!$B$4:$X$4),""))</f>
        <v/>
      </c>
      <c r="M18" s="51" t="str">
        <f>IF(OR(M$2="",COUNT(الرصد!$C18:$Y18)=0),"",IFERROR(SUMIF(معالجة!$B$3:$X$3,M$2,الرصد!$C18:$Y18)/SUMIF(معالجة!$B$3:$X$3,M$2,معالجة!$B$4:$X$4),""))</f>
        <v/>
      </c>
      <c r="N18" s="51" t="str">
        <f>IF(OR(N$2="",COUNT(الرصد!$C18:$Y18)=0),"",IFERROR(SUMIF(معالجة!$B$3:$X$3,N$2,الرصد!$C18:$Y18)/SUMIF(معالجة!$B$3:$X$3,N$2,معالجة!$B$4:$X$4),""))</f>
        <v/>
      </c>
      <c r="O18" s="51" t="str">
        <f>IF(OR(O$2="",COUNT(الرصد!$C18:$Y18)=0),"",IFERROR(SUMIF(معالجة!$B$3:$X$3,O$2,الرصد!$C18:$Y18)/SUMIF(معالجة!$B$3:$X$3,O$2,معالجة!$B$4:$X$4),""))</f>
        <v/>
      </c>
      <c r="P18" s="51" t="str">
        <f>IF(OR(P$2="",COUNT(الرصد!$C18:$Y18)=0),"",IFERROR(SUMIF(معالجة!$B$3:$X$3,P$2,الرصد!$C18:$Y18)/SUMIF(معالجة!$B$3:$X$3,P$2,معالجة!$B$4:$X$4),""))</f>
        <v/>
      </c>
      <c r="Q18" s="51" t="str">
        <f>IF(OR(Q$2="",COUNT(الرصد!$C18:$Y18)=0),"",IFERROR(SUMIF(معالجة!$B$3:$X$3,Q$2,الرصد!$C18:$Y18)/SUMIF(معالجة!$B$3:$X$3,Q$2,معالجة!$B$4:$X$4),""))</f>
        <v/>
      </c>
      <c r="R18" s="51" t="str">
        <f>IF(OR(R$2="",COUNT(الرصد!$C18:$Y18)=0),"",IFERROR(SUMIF(معالجة!$B$3:$X$3,R$2,الرصد!$C18:$Y18)/SUMIF(معالجة!$B$3:$X$3,R$2,معالجة!$B$4:$X$4),""))</f>
        <v/>
      </c>
      <c r="S18" s="51" t="str">
        <f>IF(OR(S$2="",COUNT(الرصد!$C18:$Y18)=0),"",IFERROR(SUMIF(معالجة!$B$3:$X$3,S$2,الرصد!$C18:$Y18)/SUMIF(معالجة!$B$3:$X$3,S$2,معالجة!$B$4:$X$4),""))</f>
        <v/>
      </c>
      <c r="T18" s="51" t="str">
        <f>IF(OR(T$2="",COUNT(الرصد!$C18:$Y18)=0),"",IFERROR(SUMIF(معالجة!$B$3:$X$3,T$2,الرصد!$C18:$Y18)/SUMIF(معالجة!$B$3:$X$3,T$2,معالجة!$B$4:$X$4),""))</f>
        <v/>
      </c>
      <c r="U18" s="51" t="str">
        <f>IF(OR(U$2="",COUNT(الرصد!$C18:$Y18)=0),"",IFERROR(SUMIF(معالجة!$B$3:$X$3,U$2,الرصد!$C18:$Y18)/SUMIF(معالجة!$B$3:$X$3,U$2,معالجة!$B$4:$X$4),""))</f>
        <v/>
      </c>
      <c r="V18" s="51" t="str">
        <f>IF(OR(V$2="",COUNT(الرصد!$C18:$Y18)=0),"",IFERROR(SUMIF(معالجة!$B$3:$X$3,V$2,الرصد!$C18:$Y18)/SUMIF(معالجة!$B$3:$X$3,V$2,معالجة!$B$4:$X$4),""))</f>
        <v/>
      </c>
      <c r="W18" s="51" t="str">
        <f>IFERROR(C18/المهارات!$G$27,"")</f>
        <v/>
      </c>
    </row>
    <row r="19" spans="1:23" ht="14.25" customHeight="1">
      <c r="A19" s="42" t="s">
        <v>88</v>
      </c>
      <c r="B19" s="42" t="s">
        <v>18</v>
      </c>
      <c r="C19" s="50" t="str">
        <f>IF(COUNT(الرصد!C19:Y19)=0,"",SUM(الرصد!C19:Y19))</f>
        <v/>
      </c>
      <c r="D19" s="51" t="str">
        <f>IF(OR(D$2="",COUNT(الرصد!$C19:$Y19)=0),"",IFERROR(SUMIF(معالجة!$B$3:$X$3,D$2,الرصد!$C19:$Y19)/SUMIF(معالجة!$B$3:$X$3,D$2,معالجة!$B$4:$X$4),""))</f>
        <v/>
      </c>
      <c r="E19" s="51" t="str">
        <f>IF(OR(E$2="",COUNT(الرصد!$C19:$Y19)=0),"",IFERROR(SUMIF(معالجة!$B$3:$X$3,E$2,الرصد!$C19:$Y19)/SUMIF(معالجة!$B$3:$X$3,E$2,معالجة!$B$4:$X$4),""))</f>
        <v/>
      </c>
      <c r="F19" s="51" t="str">
        <f>IF(OR(F$2="",COUNT(الرصد!$C19:$Y19)=0),"",IFERROR(SUMIF(معالجة!$B$3:$X$3,F$2,الرصد!$C19:$Y19)/SUMIF(معالجة!$B$3:$X$3,F$2,معالجة!$B$4:$X$4),""))</f>
        <v/>
      </c>
      <c r="G19" s="51" t="str">
        <f>IF(OR(G$2="",COUNT(الرصد!$C19:$Y19)=0),"",IFERROR(SUMIF(معالجة!$B$3:$X$3,G$2,الرصد!$C19:$Y19)/SUMIF(معالجة!$B$3:$X$3,G$2,معالجة!$B$4:$X$4),""))</f>
        <v/>
      </c>
      <c r="H19" s="51" t="str">
        <f>IF(OR(H$2="",COUNT(الرصد!$C19:$Y19)=0),"",IFERROR(SUMIF(معالجة!$B$3:$X$3,H$2,الرصد!$C19:$Y19)/SUMIF(معالجة!$B$3:$X$3,H$2,معالجة!$B$4:$X$4),""))</f>
        <v/>
      </c>
      <c r="I19" s="51" t="str">
        <f>IF(OR(I$2="",COUNT(الرصد!$C19:$Y19)=0),"",IFERROR(SUMIF(معالجة!$B$3:$X$3,I$2,الرصد!$C19:$Y19)/SUMIF(معالجة!$B$3:$X$3,I$2,معالجة!$B$4:$X$4),""))</f>
        <v/>
      </c>
      <c r="J19" s="51" t="str">
        <f>IF(OR(J$2="",COUNT(الرصد!$C19:$Y19)=0),"",IFERROR(SUMIF(معالجة!$B$3:$X$3,J$2,الرصد!$C19:$Y19)/SUMIF(معالجة!$B$3:$X$3,J$2,معالجة!$B$4:$X$4),""))</f>
        <v/>
      </c>
      <c r="K19" s="51" t="str">
        <f>IF(OR(K$2="",COUNT(الرصد!$C19:$Y19)=0),"",IFERROR(SUMIF(معالجة!$B$3:$X$3,K$2,الرصد!$C19:$Y19)/SUMIF(معالجة!$B$3:$X$3,K$2,معالجة!$B$4:$X$4),""))</f>
        <v/>
      </c>
      <c r="L19" s="51" t="str">
        <f>IF(OR(L$2="",COUNT(الرصد!$C19:$Y19)=0),"",IFERROR(SUMIF(معالجة!$B$3:$X$3,L$2,الرصد!$C19:$Y19)/SUMIF(معالجة!$B$3:$X$3,L$2,معالجة!$B$4:$X$4),""))</f>
        <v/>
      </c>
      <c r="M19" s="51" t="str">
        <f>IF(OR(M$2="",COUNT(الرصد!$C19:$Y19)=0),"",IFERROR(SUMIF(معالجة!$B$3:$X$3,M$2,الرصد!$C19:$Y19)/SUMIF(معالجة!$B$3:$X$3,M$2,معالجة!$B$4:$X$4),""))</f>
        <v/>
      </c>
      <c r="N19" s="51" t="str">
        <f>IF(OR(N$2="",COUNT(الرصد!$C19:$Y19)=0),"",IFERROR(SUMIF(معالجة!$B$3:$X$3,N$2,الرصد!$C19:$Y19)/SUMIF(معالجة!$B$3:$X$3,N$2,معالجة!$B$4:$X$4),""))</f>
        <v/>
      </c>
      <c r="O19" s="51" t="str">
        <f>IF(OR(O$2="",COUNT(الرصد!$C19:$Y19)=0),"",IFERROR(SUMIF(معالجة!$B$3:$X$3,O$2,الرصد!$C19:$Y19)/SUMIF(معالجة!$B$3:$X$3,O$2,معالجة!$B$4:$X$4),""))</f>
        <v/>
      </c>
      <c r="P19" s="51" t="str">
        <f>IF(OR(P$2="",COUNT(الرصد!$C19:$Y19)=0),"",IFERROR(SUMIF(معالجة!$B$3:$X$3,P$2,الرصد!$C19:$Y19)/SUMIF(معالجة!$B$3:$X$3,P$2,معالجة!$B$4:$X$4),""))</f>
        <v/>
      </c>
      <c r="Q19" s="51" t="str">
        <f>IF(OR(Q$2="",COUNT(الرصد!$C19:$Y19)=0),"",IFERROR(SUMIF(معالجة!$B$3:$X$3,Q$2,الرصد!$C19:$Y19)/SUMIF(معالجة!$B$3:$X$3,Q$2,معالجة!$B$4:$X$4),""))</f>
        <v/>
      </c>
      <c r="R19" s="51" t="str">
        <f>IF(OR(R$2="",COUNT(الرصد!$C19:$Y19)=0),"",IFERROR(SUMIF(معالجة!$B$3:$X$3,R$2,الرصد!$C19:$Y19)/SUMIF(معالجة!$B$3:$X$3,R$2,معالجة!$B$4:$X$4),""))</f>
        <v/>
      </c>
      <c r="S19" s="51" t="str">
        <f>IF(OR(S$2="",COUNT(الرصد!$C19:$Y19)=0),"",IFERROR(SUMIF(معالجة!$B$3:$X$3,S$2,الرصد!$C19:$Y19)/SUMIF(معالجة!$B$3:$X$3,S$2,معالجة!$B$4:$X$4),""))</f>
        <v/>
      </c>
      <c r="T19" s="51" t="str">
        <f>IF(OR(T$2="",COUNT(الرصد!$C19:$Y19)=0),"",IFERROR(SUMIF(معالجة!$B$3:$X$3,T$2,الرصد!$C19:$Y19)/SUMIF(معالجة!$B$3:$X$3,T$2,معالجة!$B$4:$X$4),""))</f>
        <v/>
      </c>
      <c r="U19" s="51" t="str">
        <f>IF(OR(U$2="",COUNT(الرصد!$C19:$Y19)=0),"",IFERROR(SUMIF(معالجة!$B$3:$X$3,U$2,الرصد!$C19:$Y19)/SUMIF(معالجة!$B$3:$X$3,U$2,معالجة!$B$4:$X$4),""))</f>
        <v/>
      </c>
      <c r="V19" s="51" t="str">
        <f>IF(OR(V$2="",COUNT(الرصد!$C19:$Y19)=0),"",IFERROR(SUMIF(معالجة!$B$3:$X$3,V$2,الرصد!$C19:$Y19)/SUMIF(معالجة!$B$3:$X$3,V$2,معالجة!$B$4:$X$4),""))</f>
        <v/>
      </c>
      <c r="W19" s="51" t="str">
        <f>IFERROR(C19/المهارات!$G$27,"")</f>
        <v/>
      </c>
    </row>
    <row r="20" spans="1:23" ht="14.25" customHeight="1">
      <c r="A20" s="46" t="s">
        <v>89</v>
      </c>
      <c r="B20" s="46" t="s">
        <v>18</v>
      </c>
      <c r="C20" s="52" t="str">
        <f>IF(COUNT(الرصد!C20:Y20)=0,"",SUM(الرصد!C20:Y20))</f>
        <v/>
      </c>
      <c r="D20" s="51" t="str">
        <f>IF(OR(D$2="",COUNT(الرصد!$C20:$Y20)=0),"",IFERROR(SUMIF(معالجة!$B$3:$X$3,D$2,الرصد!$C20:$Y20)/SUMIF(معالجة!$B$3:$X$3,D$2,معالجة!$B$4:$X$4),""))</f>
        <v/>
      </c>
      <c r="E20" s="51" t="str">
        <f>IF(OR(E$2="",COUNT(الرصد!$C20:$Y20)=0),"",IFERROR(SUMIF(معالجة!$B$3:$X$3,E$2,الرصد!$C20:$Y20)/SUMIF(معالجة!$B$3:$X$3,E$2,معالجة!$B$4:$X$4),""))</f>
        <v/>
      </c>
      <c r="F20" s="51" t="str">
        <f>IF(OR(F$2="",COUNT(الرصد!$C20:$Y20)=0),"",IFERROR(SUMIF(معالجة!$B$3:$X$3,F$2,الرصد!$C20:$Y20)/SUMIF(معالجة!$B$3:$X$3,F$2,معالجة!$B$4:$X$4),""))</f>
        <v/>
      </c>
      <c r="G20" s="51" t="str">
        <f>IF(OR(G$2="",COUNT(الرصد!$C20:$Y20)=0),"",IFERROR(SUMIF(معالجة!$B$3:$X$3,G$2,الرصد!$C20:$Y20)/SUMIF(معالجة!$B$3:$X$3,G$2,معالجة!$B$4:$X$4),""))</f>
        <v/>
      </c>
      <c r="H20" s="51" t="str">
        <f>IF(OR(H$2="",COUNT(الرصد!$C20:$Y20)=0),"",IFERROR(SUMIF(معالجة!$B$3:$X$3,H$2,الرصد!$C20:$Y20)/SUMIF(معالجة!$B$3:$X$3,H$2,معالجة!$B$4:$X$4),""))</f>
        <v/>
      </c>
      <c r="I20" s="51" t="str">
        <f>IF(OR(I$2="",COUNT(الرصد!$C20:$Y20)=0),"",IFERROR(SUMIF(معالجة!$B$3:$X$3,I$2,الرصد!$C20:$Y20)/SUMIF(معالجة!$B$3:$X$3,I$2,معالجة!$B$4:$X$4),""))</f>
        <v/>
      </c>
      <c r="J20" s="51" t="str">
        <f>IF(OR(J$2="",COUNT(الرصد!$C20:$Y20)=0),"",IFERROR(SUMIF(معالجة!$B$3:$X$3,J$2,الرصد!$C20:$Y20)/SUMIF(معالجة!$B$3:$X$3,J$2,معالجة!$B$4:$X$4),""))</f>
        <v/>
      </c>
      <c r="K20" s="51" t="str">
        <f>IF(OR(K$2="",COUNT(الرصد!$C20:$Y20)=0),"",IFERROR(SUMIF(معالجة!$B$3:$X$3,K$2,الرصد!$C20:$Y20)/SUMIF(معالجة!$B$3:$X$3,K$2,معالجة!$B$4:$X$4),""))</f>
        <v/>
      </c>
      <c r="L20" s="51" t="str">
        <f>IF(OR(L$2="",COUNT(الرصد!$C20:$Y20)=0),"",IFERROR(SUMIF(معالجة!$B$3:$X$3,L$2,الرصد!$C20:$Y20)/SUMIF(معالجة!$B$3:$X$3,L$2,معالجة!$B$4:$X$4),""))</f>
        <v/>
      </c>
      <c r="M20" s="51" t="str">
        <f>IF(OR(M$2="",COUNT(الرصد!$C20:$Y20)=0),"",IFERROR(SUMIF(معالجة!$B$3:$X$3,M$2,الرصد!$C20:$Y20)/SUMIF(معالجة!$B$3:$X$3,M$2,معالجة!$B$4:$X$4),""))</f>
        <v/>
      </c>
      <c r="N20" s="51" t="str">
        <f>IF(OR(N$2="",COUNT(الرصد!$C20:$Y20)=0),"",IFERROR(SUMIF(معالجة!$B$3:$X$3,N$2,الرصد!$C20:$Y20)/SUMIF(معالجة!$B$3:$X$3,N$2,معالجة!$B$4:$X$4),""))</f>
        <v/>
      </c>
      <c r="O20" s="51" t="str">
        <f>IF(OR(O$2="",COUNT(الرصد!$C20:$Y20)=0),"",IFERROR(SUMIF(معالجة!$B$3:$X$3,O$2,الرصد!$C20:$Y20)/SUMIF(معالجة!$B$3:$X$3,O$2,معالجة!$B$4:$X$4),""))</f>
        <v/>
      </c>
      <c r="P20" s="51" t="str">
        <f>IF(OR(P$2="",COUNT(الرصد!$C20:$Y20)=0),"",IFERROR(SUMIF(معالجة!$B$3:$X$3,P$2,الرصد!$C20:$Y20)/SUMIF(معالجة!$B$3:$X$3,P$2,معالجة!$B$4:$X$4),""))</f>
        <v/>
      </c>
      <c r="Q20" s="51" t="str">
        <f>IF(OR(Q$2="",COUNT(الرصد!$C20:$Y20)=0),"",IFERROR(SUMIF(معالجة!$B$3:$X$3,Q$2,الرصد!$C20:$Y20)/SUMIF(معالجة!$B$3:$X$3,Q$2,معالجة!$B$4:$X$4),""))</f>
        <v/>
      </c>
      <c r="R20" s="51" t="str">
        <f>IF(OR(R$2="",COUNT(الرصد!$C20:$Y20)=0),"",IFERROR(SUMIF(معالجة!$B$3:$X$3,R$2,الرصد!$C20:$Y20)/SUMIF(معالجة!$B$3:$X$3,R$2,معالجة!$B$4:$X$4),""))</f>
        <v/>
      </c>
      <c r="S20" s="51" t="str">
        <f>IF(OR(S$2="",COUNT(الرصد!$C20:$Y20)=0),"",IFERROR(SUMIF(معالجة!$B$3:$X$3,S$2,الرصد!$C20:$Y20)/SUMIF(معالجة!$B$3:$X$3,S$2,معالجة!$B$4:$X$4),""))</f>
        <v/>
      </c>
      <c r="T20" s="51" t="str">
        <f>IF(OR(T$2="",COUNT(الرصد!$C20:$Y20)=0),"",IFERROR(SUMIF(معالجة!$B$3:$X$3,T$2,الرصد!$C20:$Y20)/SUMIF(معالجة!$B$3:$X$3,T$2,معالجة!$B$4:$X$4),""))</f>
        <v/>
      </c>
      <c r="U20" s="51" t="str">
        <f>IF(OR(U$2="",COUNT(الرصد!$C20:$Y20)=0),"",IFERROR(SUMIF(معالجة!$B$3:$X$3,U$2,الرصد!$C20:$Y20)/SUMIF(معالجة!$B$3:$X$3,U$2,معالجة!$B$4:$X$4),""))</f>
        <v/>
      </c>
      <c r="V20" s="51" t="str">
        <f>IF(OR(V$2="",COUNT(الرصد!$C20:$Y20)=0),"",IFERROR(SUMIF(معالجة!$B$3:$X$3,V$2,الرصد!$C20:$Y20)/SUMIF(معالجة!$B$3:$X$3,V$2,معالجة!$B$4:$X$4),""))</f>
        <v/>
      </c>
      <c r="W20" s="51" t="str">
        <f>IFERROR(C20/المهارات!$G$27,"")</f>
        <v/>
      </c>
    </row>
    <row r="21" spans="1:23" ht="14.25" customHeight="1">
      <c r="A21" s="42" t="s">
        <v>90</v>
      </c>
      <c r="B21" s="42" t="s">
        <v>18</v>
      </c>
      <c r="C21" s="50" t="str">
        <f>IF(COUNT(الرصد!C21:Y21)=0,"",SUM(الرصد!C21:Y21))</f>
        <v/>
      </c>
      <c r="D21" s="51" t="str">
        <f>IF(OR(D$2="",COUNT(الرصد!$C21:$Y21)=0),"",IFERROR(SUMIF(معالجة!$B$3:$X$3,D$2,الرصد!$C21:$Y21)/SUMIF(معالجة!$B$3:$X$3,D$2,معالجة!$B$4:$X$4),""))</f>
        <v/>
      </c>
      <c r="E21" s="51" t="str">
        <f>IF(OR(E$2="",COUNT(الرصد!$C21:$Y21)=0),"",IFERROR(SUMIF(معالجة!$B$3:$X$3,E$2,الرصد!$C21:$Y21)/SUMIF(معالجة!$B$3:$X$3,E$2,معالجة!$B$4:$X$4),""))</f>
        <v/>
      </c>
      <c r="F21" s="51" t="str">
        <f>IF(OR(F$2="",COUNT(الرصد!$C21:$Y21)=0),"",IFERROR(SUMIF(معالجة!$B$3:$X$3,F$2,الرصد!$C21:$Y21)/SUMIF(معالجة!$B$3:$X$3,F$2,معالجة!$B$4:$X$4),""))</f>
        <v/>
      </c>
      <c r="G21" s="51" t="str">
        <f>IF(OR(G$2="",COUNT(الرصد!$C21:$Y21)=0),"",IFERROR(SUMIF(معالجة!$B$3:$X$3,G$2,الرصد!$C21:$Y21)/SUMIF(معالجة!$B$3:$X$3,G$2,معالجة!$B$4:$X$4),""))</f>
        <v/>
      </c>
      <c r="H21" s="51" t="str">
        <f>IF(OR(H$2="",COUNT(الرصد!$C21:$Y21)=0),"",IFERROR(SUMIF(معالجة!$B$3:$X$3,H$2,الرصد!$C21:$Y21)/SUMIF(معالجة!$B$3:$X$3,H$2,معالجة!$B$4:$X$4),""))</f>
        <v/>
      </c>
      <c r="I21" s="51" t="str">
        <f>IF(OR(I$2="",COUNT(الرصد!$C21:$Y21)=0),"",IFERROR(SUMIF(معالجة!$B$3:$X$3,I$2,الرصد!$C21:$Y21)/SUMIF(معالجة!$B$3:$X$3,I$2,معالجة!$B$4:$X$4),""))</f>
        <v/>
      </c>
      <c r="J21" s="51" t="str">
        <f>IF(OR(J$2="",COUNT(الرصد!$C21:$Y21)=0),"",IFERROR(SUMIF(معالجة!$B$3:$X$3,J$2,الرصد!$C21:$Y21)/SUMIF(معالجة!$B$3:$X$3,J$2,معالجة!$B$4:$X$4),""))</f>
        <v/>
      </c>
      <c r="K21" s="51" t="str">
        <f>IF(OR(K$2="",COUNT(الرصد!$C21:$Y21)=0),"",IFERROR(SUMIF(معالجة!$B$3:$X$3,K$2,الرصد!$C21:$Y21)/SUMIF(معالجة!$B$3:$X$3,K$2,معالجة!$B$4:$X$4),""))</f>
        <v/>
      </c>
      <c r="L21" s="51" t="str">
        <f>IF(OR(L$2="",COUNT(الرصد!$C21:$Y21)=0),"",IFERROR(SUMIF(معالجة!$B$3:$X$3,L$2,الرصد!$C21:$Y21)/SUMIF(معالجة!$B$3:$X$3,L$2,معالجة!$B$4:$X$4),""))</f>
        <v/>
      </c>
      <c r="M21" s="51" t="str">
        <f>IF(OR(M$2="",COUNT(الرصد!$C21:$Y21)=0),"",IFERROR(SUMIF(معالجة!$B$3:$X$3,M$2,الرصد!$C21:$Y21)/SUMIF(معالجة!$B$3:$X$3,M$2,معالجة!$B$4:$X$4),""))</f>
        <v/>
      </c>
      <c r="N21" s="51" t="str">
        <f>IF(OR(N$2="",COUNT(الرصد!$C21:$Y21)=0),"",IFERROR(SUMIF(معالجة!$B$3:$X$3,N$2,الرصد!$C21:$Y21)/SUMIF(معالجة!$B$3:$X$3,N$2,معالجة!$B$4:$X$4),""))</f>
        <v/>
      </c>
      <c r="O21" s="51" t="str">
        <f>IF(OR(O$2="",COUNT(الرصد!$C21:$Y21)=0),"",IFERROR(SUMIF(معالجة!$B$3:$X$3,O$2,الرصد!$C21:$Y21)/SUMIF(معالجة!$B$3:$X$3,O$2,معالجة!$B$4:$X$4),""))</f>
        <v/>
      </c>
      <c r="P21" s="51" t="str">
        <f>IF(OR(P$2="",COUNT(الرصد!$C21:$Y21)=0),"",IFERROR(SUMIF(معالجة!$B$3:$X$3,P$2,الرصد!$C21:$Y21)/SUMIF(معالجة!$B$3:$X$3,P$2,معالجة!$B$4:$X$4),""))</f>
        <v/>
      </c>
      <c r="Q21" s="51" t="str">
        <f>IF(OR(Q$2="",COUNT(الرصد!$C21:$Y21)=0),"",IFERROR(SUMIF(معالجة!$B$3:$X$3,Q$2,الرصد!$C21:$Y21)/SUMIF(معالجة!$B$3:$X$3,Q$2,معالجة!$B$4:$X$4),""))</f>
        <v/>
      </c>
      <c r="R21" s="51" t="str">
        <f>IF(OR(R$2="",COUNT(الرصد!$C21:$Y21)=0),"",IFERROR(SUMIF(معالجة!$B$3:$X$3,R$2,الرصد!$C21:$Y21)/SUMIF(معالجة!$B$3:$X$3,R$2,معالجة!$B$4:$X$4),""))</f>
        <v/>
      </c>
      <c r="S21" s="51" t="str">
        <f>IF(OR(S$2="",COUNT(الرصد!$C21:$Y21)=0),"",IFERROR(SUMIF(معالجة!$B$3:$X$3,S$2,الرصد!$C21:$Y21)/SUMIF(معالجة!$B$3:$X$3,S$2,معالجة!$B$4:$X$4),""))</f>
        <v/>
      </c>
      <c r="T21" s="51" t="str">
        <f>IF(OR(T$2="",COUNT(الرصد!$C21:$Y21)=0),"",IFERROR(SUMIF(معالجة!$B$3:$X$3,T$2,الرصد!$C21:$Y21)/SUMIF(معالجة!$B$3:$X$3,T$2,معالجة!$B$4:$X$4),""))</f>
        <v/>
      </c>
      <c r="U21" s="51" t="str">
        <f>IF(OR(U$2="",COUNT(الرصد!$C21:$Y21)=0),"",IFERROR(SUMIF(معالجة!$B$3:$X$3,U$2,الرصد!$C21:$Y21)/SUMIF(معالجة!$B$3:$X$3,U$2,معالجة!$B$4:$X$4),""))</f>
        <v/>
      </c>
      <c r="V21" s="51" t="str">
        <f>IF(OR(V$2="",COUNT(الرصد!$C21:$Y21)=0),"",IFERROR(SUMIF(معالجة!$B$3:$X$3,V$2,الرصد!$C21:$Y21)/SUMIF(معالجة!$B$3:$X$3,V$2,معالجة!$B$4:$X$4),""))</f>
        <v/>
      </c>
      <c r="W21" s="51" t="str">
        <f>IFERROR(C21/المهارات!$G$27,"")</f>
        <v/>
      </c>
    </row>
    <row r="22" spans="1:23" ht="14.25" customHeight="1">
      <c r="A22" s="46" t="s">
        <v>91</v>
      </c>
      <c r="B22" s="46" t="s">
        <v>18</v>
      </c>
      <c r="C22" s="52" t="str">
        <f>IF(COUNT(الرصد!C22:Y22)=0,"",SUM(الرصد!C22:Y22))</f>
        <v/>
      </c>
      <c r="D22" s="51" t="str">
        <f>IF(OR(D$2="",COUNT(الرصد!$C22:$Y22)=0),"",IFERROR(SUMIF(معالجة!$B$3:$X$3,D$2,الرصد!$C22:$Y22)/SUMIF(معالجة!$B$3:$X$3,D$2,معالجة!$B$4:$X$4),""))</f>
        <v/>
      </c>
      <c r="E22" s="51" t="str">
        <f>IF(OR(E$2="",COUNT(الرصد!$C22:$Y22)=0),"",IFERROR(SUMIF(معالجة!$B$3:$X$3,E$2,الرصد!$C22:$Y22)/SUMIF(معالجة!$B$3:$X$3,E$2,معالجة!$B$4:$X$4),""))</f>
        <v/>
      </c>
      <c r="F22" s="51" t="str">
        <f>IF(OR(F$2="",COUNT(الرصد!$C22:$Y22)=0),"",IFERROR(SUMIF(معالجة!$B$3:$X$3,F$2,الرصد!$C22:$Y22)/SUMIF(معالجة!$B$3:$X$3,F$2,معالجة!$B$4:$X$4),""))</f>
        <v/>
      </c>
      <c r="G22" s="51" t="str">
        <f>IF(OR(G$2="",COUNT(الرصد!$C22:$Y22)=0),"",IFERROR(SUMIF(معالجة!$B$3:$X$3,G$2,الرصد!$C22:$Y22)/SUMIF(معالجة!$B$3:$X$3,G$2,معالجة!$B$4:$X$4),""))</f>
        <v/>
      </c>
      <c r="H22" s="51" t="str">
        <f>IF(OR(H$2="",COUNT(الرصد!$C22:$Y22)=0),"",IFERROR(SUMIF(معالجة!$B$3:$X$3,H$2,الرصد!$C22:$Y22)/SUMIF(معالجة!$B$3:$X$3,H$2,معالجة!$B$4:$X$4),""))</f>
        <v/>
      </c>
      <c r="I22" s="51" t="str">
        <f>IF(OR(I$2="",COUNT(الرصد!$C22:$Y22)=0),"",IFERROR(SUMIF(معالجة!$B$3:$X$3,I$2,الرصد!$C22:$Y22)/SUMIF(معالجة!$B$3:$X$3,I$2,معالجة!$B$4:$X$4),""))</f>
        <v/>
      </c>
      <c r="J22" s="51" t="str">
        <f>IF(OR(J$2="",COUNT(الرصد!$C22:$Y22)=0),"",IFERROR(SUMIF(معالجة!$B$3:$X$3,J$2,الرصد!$C22:$Y22)/SUMIF(معالجة!$B$3:$X$3,J$2,معالجة!$B$4:$X$4),""))</f>
        <v/>
      </c>
      <c r="K22" s="51" t="str">
        <f>IF(OR(K$2="",COUNT(الرصد!$C22:$Y22)=0),"",IFERROR(SUMIF(معالجة!$B$3:$X$3,K$2,الرصد!$C22:$Y22)/SUMIF(معالجة!$B$3:$X$3,K$2,معالجة!$B$4:$X$4),""))</f>
        <v/>
      </c>
      <c r="L22" s="51" t="str">
        <f>IF(OR(L$2="",COUNT(الرصد!$C22:$Y22)=0),"",IFERROR(SUMIF(معالجة!$B$3:$X$3,L$2,الرصد!$C22:$Y22)/SUMIF(معالجة!$B$3:$X$3,L$2,معالجة!$B$4:$X$4),""))</f>
        <v/>
      </c>
      <c r="M22" s="51" t="str">
        <f>IF(OR(M$2="",COUNT(الرصد!$C22:$Y22)=0),"",IFERROR(SUMIF(معالجة!$B$3:$X$3,M$2,الرصد!$C22:$Y22)/SUMIF(معالجة!$B$3:$X$3,M$2,معالجة!$B$4:$X$4),""))</f>
        <v/>
      </c>
      <c r="N22" s="51" t="str">
        <f>IF(OR(N$2="",COUNT(الرصد!$C22:$Y22)=0),"",IFERROR(SUMIF(معالجة!$B$3:$X$3,N$2,الرصد!$C22:$Y22)/SUMIF(معالجة!$B$3:$X$3,N$2,معالجة!$B$4:$X$4),""))</f>
        <v/>
      </c>
      <c r="O22" s="51" t="str">
        <f>IF(OR(O$2="",COUNT(الرصد!$C22:$Y22)=0),"",IFERROR(SUMIF(معالجة!$B$3:$X$3,O$2,الرصد!$C22:$Y22)/SUMIF(معالجة!$B$3:$X$3,O$2,معالجة!$B$4:$X$4),""))</f>
        <v/>
      </c>
      <c r="P22" s="51" t="str">
        <f>IF(OR(P$2="",COUNT(الرصد!$C22:$Y22)=0),"",IFERROR(SUMIF(معالجة!$B$3:$X$3,P$2,الرصد!$C22:$Y22)/SUMIF(معالجة!$B$3:$X$3,P$2,معالجة!$B$4:$X$4),""))</f>
        <v/>
      </c>
      <c r="Q22" s="51" t="str">
        <f>IF(OR(Q$2="",COUNT(الرصد!$C22:$Y22)=0),"",IFERROR(SUMIF(معالجة!$B$3:$X$3,Q$2,الرصد!$C22:$Y22)/SUMIF(معالجة!$B$3:$X$3,Q$2,معالجة!$B$4:$X$4),""))</f>
        <v/>
      </c>
      <c r="R22" s="51" t="str">
        <f>IF(OR(R$2="",COUNT(الرصد!$C22:$Y22)=0),"",IFERROR(SUMIF(معالجة!$B$3:$X$3,R$2,الرصد!$C22:$Y22)/SUMIF(معالجة!$B$3:$X$3,R$2,معالجة!$B$4:$X$4),""))</f>
        <v/>
      </c>
      <c r="S22" s="51" t="str">
        <f>IF(OR(S$2="",COUNT(الرصد!$C22:$Y22)=0),"",IFERROR(SUMIF(معالجة!$B$3:$X$3,S$2,الرصد!$C22:$Y22)/SUMIF(معالجة!$B$3:$X$3,S$2,معالجة!$B$4:$X$4),""))</f>
        <v/>
      </c>
      <c r="T22" s="51" t="str">
        <f>IF(OR(T$2="",COUNT(الرصد!$C22:$Y22)=0),"",IFERROR(SUMIF(معالجة!$B$3:$X$3,T$2,الرصد!$C22:$Y22)/SUMIF(معالجة!$B$3:$X$3,T$2,معالجة!$B$4:$X$4),""))</f>
        <v/>
      </c>
      <c r="U22" s="51" t="str">
        <f>IF(OR(U$2="",COUNT(الرصد!$C22:$Y22)=0),"",IFERROR(SUMIF(معالجة!$B$3:$X$3,U$2,الرصد!$C22:$Y22)/SUMIF(معالجة!$B$3:$X$3,U$2,معالجة!$B$4:$X$4),""))</f>
        <v/>
      </c>
      <c r="V22" s="51" t="str">
        <f>IF(OR(V$2="",COUNT(الرصد!$C22:$Y22)=0),"",IFERROR(SUMIF(معالجة!$B$3:$X$3,V$2,الرصد!$C22:$Y22)/SUMIF(معالجة!$B$3:$X$3,V$2,معالجة!$B$4:$X$4),""))</f>
        <v/>
      </c>
      <c r="W22" s="51" t="str">
        <f>IFERROR(C22/المهارات!$G$27,"")</f>
        <v/>
      </c>
    </row>
    <row r="23" spans="1:23" ht="14.25" customHeight="1">
      <c r="A23" s="42" t="s">
        <v>92</v>
      </c>
      <c r="B23" s="42" t="s">
        <v>18</v>
      </c>
      <c r="C23" s="50" t="str">
        <f>IF(COUNT(الرصد!C23:Y23)=0,"",SUM(الرصد!C23:Y23))</f>
        <v/>
      </c>
      <c r="D23" s="51" t="str">
        <f>IF(OR(D$2="",COUNT(الرصد!$C23:$Y23)=0),"",IFERROR(SUMIF(معالجة!$B$3:$X$3,D$2,الرصد!$C23:$Y23)/SUMIF(معالجة!$B$3:$X$3,D$2,معالجة!$B$4:$X$4),""))</f>
        <v/>
      </c>
      <c r="E23" s="51" t="str">
        <f>IF(OR(E$2="",COUNT(الرصد!$C23:$Y23)=0),"",IFERROR(SUMIF(معالجة!$B$3:$X$3,E$2,الرصد!$C23:$Y23)/SUMIF(معالجة!$B$3:$X$3,E$2,معالجة!$B$4:$X$4),""))</f>
        <v/>
      </c>
      <c r="F23" s="51" t="str">
        <f>IF(OR(F$2="",COUNT(الرصد!$C23:$Y23)=0),"",IFERROR(SUMIF(معالجة!$B$3:$X$3,F$2,الرصد!$C23:$Y23)/SUMIF(معالجة!$B$3:$X$3,F$2,معالجة!$B$4:$X$4),""))</f>
        <v/>
      </c>
      <c r="G23" s="51" t="str">
        <f>IF(OR(G$2="",COUNT(الرصد!$C23:$Y23)=0),"",IFERROR(SUMIF(معالجة!$B$3:$X$3,G$2,الرصد!$C23:$Y23)/SUMIF(معالجة!$B$3:$X$3,G$2,معالجة!$B$4:$X$4),""))</f>
        <v/>
      </c>
      <c r="H23" s="51" t="str">
        <f>IF(OR(H$2="",COUNT(الرصد!$C23:$Y23)=0),"",IFERROR(SUMIF(معالجة!$B$3:$X$3,H$2,الرصد!$C23:$Y23)/SUMIF(معالجة!$B$3:$X$3,H$2,معالجة!$B$4:$X$4),""))</f>
        <v/>
      </c>
      <c r="I23" s="51" t="str">
        <f>IF(OR(I$2="",COUNT(الرصد!$C23:$Y23)=0),"",IFERROR(SUMIF(معالجة!$B$3:$X$3,I$2,الرصد!$C23:$Y23)/SUMIF(معالجة!$B$3:$X$3,I$2,معالجة!$B$4:$X$4),""))</f>
        <v/>
      </c>
      <c r="J23" s="51" t="str">
        <f>IF(OR(J$2="",COUNT(الرصد!$C23:$Y23)=0),"",IFERROR(SUMIF(معالجة!$B$3:$X$3,J$2,الرصد!$C23:$Y23)/SUMIF(معالجة!$B$3:$X$3,J$2,معالجة!$B$4:$X$4),""))</f>
        <v/>
      </c>
      <c r="K23" s="51" t="str">
        <f>IF(OR(K$2="",COUNT(الرصد!$C23:$Y23)=0),"",IFERROR(SUMIF(معالجة!$B$3:$X$3,K$2,الرصد!$C23:$Y23)/SUMIF(معالجة!$B$3:$X$3,K$2,معالجة!$B$4:$X$4),""))</f>
        <v/>
      </c>
      <c r="L23" s="51" t="str">
        <f>IF(OR(L$2="",COUNT(الرصد!$C23:$Y23)=0),"",IFERROR(SUMIF(معالجة!$B$3:$X$3,L$2,الرصد!$C23:$Y23)/SUMIF(معالجة!$B$3:$X$3,L$2,معالجة!$B$4:$X$4),""))</f>
        <v/>
      </c>
      <c r="M23" s="51" t="str">
        <f>IF(OR(M$2="",COUNT(الرصد!$C23:$Y23)=0),"",IFERROR(SUMIF(معالجة!$B$3:$X$3,M$2,الرصد!$C23:$Y23)/SUMIF(معالجة!$B$3:$X$3,M$2,معالجة!$B$4:$X$4),""))</f>
        <v/>
      </c>
      <c r="N23" s="51" t="str">
        <f>IF(OR(N$2="",COUNT(الرصد!$C23:$Y23)=0),"",IFERROR(SUMIF(معالجة!$B$3:$X$3,N$2,الرصد!$C23:$Y23)/SUMIF(معالجة!$B$3:$X$3,N$2,معالجة!$B$4:$X$4),""))</f>
        <v/>
      </c>
      <c r="O23" s="51" t="str">
        <f>IF(OR(O$2="",COUNT(الرصد!$C23:$Y23)=0),"",IFERROR(SUMIF(معالجة!$B$3:$X$3,O$2,الرصد!$C23:$Y23)/SUMIF(معالجة!$B$3:$X$3,O$2,معالجة!$B$4:$X$4),""))</f>
        <v/>
      </c>
      <c r="P23" s="51" t="str">
        <f>IF(OR(P$2="",COUNT(الرصد!$C23:$Y23)=0),"",IFERROR(SUMIF(معالجة!$B$3:$X$3,P$2,الرصد!$C23:$Y23)/SUMIF(معالجة!$B$3:$X$3,P$2,معالجة!$B$4:$X$4),""))</f>
        <v/>
      </c>
      <c r="Q23" s="51" t="str">
        <f>IF(OR(Q$2="",COUNT(الرصد!$C23:$Y23)=0),"",IFERROR(SUMIF(معالجة!$B$3:$X$3,Q$2,الرصد!$C23:$Y23)/SUMIF(معالجة!$B$3:$X$3,Q$2,معالجة!$B$4:$X$4),""))</f>
        <v/>
      </c>
      <c r="R23" s="51" t="str">
        <f>IF(OR(R$2="",COUNT(الرصد!$C23:$Y23)=0),"",IFERROR(SUMIF(معالجة!$B$3:$X$3,R$2,الرصد!$C23:$Y23)/SUMIF(معالجة!$B$3:$X$3,R$2,معالجة!$B$4:$X$4),""))</f>
        <v/>
      </c>
      <c r="S23" s="51" t="str">
        <f>IF(OR(S$2="",COUNT(الرصد!$C23:$Y23)=0),"",IFERROR(SUMIF(معالجة!$B$3:$X$3,S$2,الرصد!$C23:$Y23)/SUMIF(معالجة!$B$3:$X$3,S$2,معالجة!$B$4:$X$4),""))</f>
        <v/>
      </c>
      <c r="T23" s="51" t="str">
        <f>IF(OR(T$2="",COUNT(الرصد!$C23:$Y23)=0),"",IFERROR(SUMIF(معالجة!$B$3:$X$3,T$2,الرصد!$C23:$Y23)/SUMIF(معالجة!$B$3:$X$3,T$2,معالجة!$B$4:$X$4),""))</f>
        <v/>
      </c>
      <c r="U23" s="51" t="str">
        <f>IF(OR(U$2="",COUNT(الرصد!$C23:$Y23)=0),"",IFERROR(SUMIF(معالجة!$B$3:$X$3,U$2,الرصد!$C23:$Y23)/SUMIF(معالجة!$B$3:$X$3,U$2,معالجة!$B$4:$X$4),""))</f>
        <v/>
      </c>
      <c r="V23" s="51" t="str">
        <f>IF(OR(V$2="",COUNT(الرصد!$C23:$Y23)=0),"",IFERROR(SUMIF(معالجة!$B$3:$X$3,V$2,الرصد!$C23:$Y23)/SUMIF(معالجة!$B$3:$X$3,V$2,معالجة!$B$4:$X$4),""))</f>
        <v/>
      </c>
      <c r="W23" s="51" t="str">
        <f>IFERROR(C23/المهارات!$G$27,"")</f>
        <v/>
      </c>
    </row>
    <row r="24" spans="1:23" ht="14.25" customHeight="1">
      <c r="A24" s="46" t="s">
        <v>93</v>
      </c>
      <c r="B24" s="46" t="s">
        <v>27</v>
      </c>
      <c r="C24" s="52" t="str">
        <f>IF(COUNT(الرصد!C24:Y24)=0,"",SUM(الرصد!C24:Y24))</f>
        <v/>
      </c>
      <c r="D24" s="51" t="str">
        <f>IF(OR(D$2="",COUNT(الرصد!$C24:$Y24)=0),"",IFERROR(SUMIF(معالجة!$B$3:$X$3,D$2,الرصد!$C24:$Y24)/SUMIF(معالجة!$B$3:$X$3,D$2,معالجة!$B$4:$X$4),""))</f>
        <v/>
      </c>
      <c r="E24" s="51" t="str">
        <f>IF(OR(E$2="",COUNT(الرصد!$C24:$Y24)=0),"",IFERROR(SUMIF(معالجة!$B$3:$X$3,E$2,الرصد!$C24:$Y24)/SUMIF(معالجة!$B$3:$X$3,E$2,معالجة!$B$4:$X$4),""))</f>
        <v/>
      </c>
      <c r="F24" s="51" t="str">
        <f>IF(OR(F$2="",COUNT(الرصد!$C24:$Y24)=0),"",IFERROR(SUMIF(معالجة!$B$3:$X$3,F$2,الرصد!$C24:$Y24)/SUMIF(معالجة!$B$3:$X$3,F$2,معالجة!$B$4:$X$4),""))</f>
        <v/>
      </c>
      <c r="G24" s="51" t="str">
        <f>IF(OR(G$2="",COUNT(الرصد!$C24:$Y24)=0),"",IFERROR(SUMIF(معالجة!$B$3:$X$3,G$2,الرصد!$C24:$Y24)/SUMIF(معالجة!$B$3:$X$3,G$2,معالجة!$B$4:$X$4),""))</f>
        <v/>
      </c>
      <c r="H24" s="51" t="str">
        <f>IF(OR(H$2="",COUNT(الرصد!$C24:$Y24)=0),"",IFERROR(SUMIF(معالجة!$B$3:$X$3,H$2,الرصد!$C24:$Y24)/SUMIF(معالجة!$B$3:$X$3,H$2,معالجة!$B$4:$X$4),""))</f>
        <v/>
      </c>
      <c r="I24" s="51" t="str">
        <f>IF(OR(I$2="",COUNT(الرصد!$C24:$Y24)=0),"",IFERROR(SUMIF(معالجة!$B$3:$X$3,I$2,الرصد!$C24:$Y24)/SUMIF(معالجة!$B$3:$X$3,I$2,معالجة!$B$4:$X$4),""))</f>
        <v/>
      </c>
      <c r="J24" s="51" t="str">
        <f>IF(OR(J$2="",COUNT(الرصد!$C24:$Y24)=0),"",IFERROR(SUMIF(معالجة!$B$3:$X$3,J$2,الرصد!$C24:$Y24)/SUMIF(معالجة!$B$3:$X$3,J$2,معالجة!$B$4:$X$4),""))</f>
        <v/>
      </c>
      <c r="K24" s="51" t="str">
        <f>IF(OR(K$2="",COUNT(الرصد!$C24:$Y24)=0),"",IFERROR(SUMIF(معالجة!$B$3:$X$3,K$2,الرصد!$C24:$Y24)/SUMIF(معالجة!$B$3:$X$3,K$2,معالجة!$B$4:$X$4),""))</f>
        <v/>
      </c>
      <c r="L24" s="51" t="str">
        <f>IF(OR(L$2="",COUNT(الرصد!$C24:$Y24)=0),"",IFERROR(SUMIF(معالجة!$B$3:$X$3,L$2,الرصد!$C24:$Y24)/SUMIF(معالجة!$B$3:$X$3,L$2,معالجة!$B$4:$X$4),""))</f>
        <v/>
      </c>
      <c r="M24" s="51" t="str">
        <f>IF(OR(M$2="",COUNT(الرصد!$C24:$Y24)=0),"",IFERROR(SUMIF(معالجة!$B$3:$X$3,M$2,الرصد!$C24:$Y24)/SUMIF(معالجة!$B$3:$X$3,M$2,معالجة!$B$4:$X$4),""))</f>
        <v/>
      </c>
      <c r="N24" s="51" t="str">
        <f>IF(OR(N$2="",COUNT(الرصد!$C24:$Y24)=0),"",IFERROR(SUMIF(معالجة!$B$3:$X$3,N$2,الرصد!$C24:$Y24)/SUMIF(معالجة!$B$3:$X$3,N$2,معالجة!$B$4:$X$4),""))</f>
        <v/>
      </c>
      <c r="O24" s="51" t="str">
        <f>IF(OR(O$2="",COUNT(الرصد!$C24:$Y24)=0),"",IFERROR(SUMIF(معالجة!$B$3:$X$3,O$2,الرصد!$C24:$Y24)/SUMIF(معالجة!$B$3:$X$3,O$2,معالجة!$B$4:$X$4),""))</f>
        <v/>
      </c>
      <c r="P24" s="51" t="str">
        <f>IF(OR(P$2="",COUNT(الرصد!$C24:$Y24)=0),"",IFERROR(SUMIF(معالجة!$B$3:$X$3,P$2,الرصد!$C24:$Y24)/SUMIF(معالجة!$B$3:$X$3,P$2,معالجة!$B$4:$X$4),""))</f>
        <v/>
      </c>
      <c r="Q24" s="51" t="str">
        <f>IF(OR(Q$2="",COUNT(الرصد!$C24:$Y24)=0),"",IFERROR(SUMIF(معالجة!$B$3:$X$3,Q$2,الرصد!$C24:$Y24)/SUMIF(معالجة!$B$3:$X$3,Q$2,معالجة!$B$4:$X$4),""))</f>
        <v/>
      </c>
      <c r="R24" s="51" t="str">
        <f>IF(OR(R$2="",COUNT(الرصد!$C24:$Y24)=0),"",IFERROR(SUMIF(معالجة!$B$3:$X$3,R$2,الرصد!$C24:$Y24)/SUMIF(معالجة!$B$3:$X$3,R$2,معالجة!$B$4:$X$4),""))</f>
        <v/>
      </c>
      <c r="S24" s="51" t="str">
        <f>IF(OR(S$2="",COUNT(الرصد!$C24:$Y24)=0),"",IFERROR(SUMIF(معالجة!$B$3:$X$3,S$2,الرصد!$C24:$Y24)/SUMIF(معالجة!$B$3:$X$3,S$2,معالجة!$B$4:$X$4),""))</f>
        <v/>
      </c>
      <c r="T24" s="51" t="str">
        <f>IF(OR(T$2="",COUNT(الرصد!$C24:$Y24)=0),"",IFERROR(SUMIF(معالجة!$B$3:$X$3,T$2,الرصد!$C24:$Y24)/SUMIF(معالجة!$B$3:$X$3,T$2,معالجة!$B$4:$X$4),""))</f>
        <v/>
      </c>
      <c r="U24" s="51" t="str">
        <f>IF(OR(U$2="",COUNT(الرصد!$C24:$Y24)=0),"",IFERROR(SUMIF(معالجة!$B$3:$X$3,U$2,الرصد!$C24:$Y24)/SUMIF(معالجة!$B$3:$X$3,U$2,معالجة!$B$4:$X$4),""))</f>
        <v/>
      </c>
      <c r="V24" s="51" t="str">
        <f>IF(OR(V$2="",COUNT(الرصد!$C24:$Y24)=0),"",IFERROR(SUMIF(معالجة!$B$3:$X$3,V$2,الرصد!$C24:$Y24)/SUMIF(معالجة!$B$3:$X$3,V$2,معالجة!$B$4:$X$4),""))</f>
        <v/>
      </c>
      <c r="W24" s="51" t="str">
        <f>IFERROR(C24/المهارات!$G$27,"")</f>
        <v/>
      </c>
    </row>
    <row r="25" spans="1:23" ht="14.25" customHeight="1">
      <c r="A25" s="42" t="s">
        <v>94</v>
      </c>
      <c r="B25" s="42" t="s">
        <v>27</v>
      </c>
      <c r="C25" s="50" t="str">
        <f>IF(COUNT(الرصد!C25:Y25)=0,"",SUM(الرصد!C25:Y25))</f>
        <v/>
      </c>
      <c r="D25" s="51" t="str">
        <f>IF(OR(D$2="",COUNT(الرصد!$C25:$Y25)=0),"",IFERROR(SUMIF(معالجة!$B$3:$X$3,D$2,الرصد!$C25:$Y25)/SUMIF(معالجة!$B$3:$X$3,D$2,معالجة!$B$4:$X$4),""))</f>
        <v/>
      </c>
      <c r="E25" s="51" t="str">
        <f>IF(OR(E$2="",COUNT(الرصد!$C25:$Y25)=0),"",IFERROR(SUMIF(معالجة!$B$3:$X$3,E$2,الرصد!$C25:$Y25)/SUMIF(معالجة!$B$3:$X$3,E$2,معالجة!$B$4:$X$4),""))</f>
        <v/>
      </c>
      <c r="F25" s="51" t="str">
        <f>IF(OR(F$2="",COUNT(الرصد!$C25:$Y25)=0),"",IFERROR(SUMIF(معالجة!$B$3:$X$3,F$2,الرصد!$C25:$Y25)/SUMIF(معالجة!$B$3:$X$3,F$2,معالجة!$B$4:$X$4),""))</f>
        <v/>
      </c>
      <c r="G25" s="51" t="str">
        <f>IF(OR(G$2="",COUNT(الرصد!$C25:$Y25)=0),"",IFERROR(SUMIF(معالجة!$B$3:$X$3,G$2,الرصد!$C25:$Y25)/SUMIF(معالجة!$B$3:$X$3,G$2,معالجة!$B$4:$X$4),""))</f>
        <v/>
      </c>
      <c r="H25" s="51" t="str">
        <f>IF(OR(H$2="",COUNT(الرصد!$C25:$Y25)=0),"",IFERROR(SUMIF(معالجة!$B$3:$X$3,H$2,الرصد!$C25:$Y25)/SUMIF(معالجة!$B$3:$X$3,H$2,معالجة!$B$4:$X$4),""))</f>
        <v/>
      </c>
      <c r="I25" s="51" t="str">
        <f>IF(OR(I$2="",COUNT(الرصد!$C25:$Y25)=0),"",IFERROR(SUMIF(معالجة!$B$3:$X$3,I$2,الرصد!$C25:$Y25)/SUMIF(معالجة!$B$3:$X$3,I$2,معالجة!$B$4:$X$4),""))</f>
        <v/>
      </c>
      <c r="J25" s="51" t="str">
        <f>IF(OR(J$2="",COUNT(الرصد!$C25:$Y25)=0),"",IFERROR(SUMIF(معالجة!$B$3:$X$3,J$2,الرصد!$C25:$Y25)/SUMIF(معالجة!$B$3:$X$3,J$2,معالجة!$B$4:$X$4),""))</f>
        <v/>
      </c>
      <c r="K25" s="51" t="str">
        <f>IF(OR(K$2="",COUNT(الرصد!$C25:$Y25)=0),"",IFERROR(SUMIF(معالجة!$B$3:$X$3,K$2,الرصد!$C25:$Y25)/SUMIF(معالجة!$B$3:$X$3,K$2,معالجة!$B$4:$X$4),""))</f>
        <v/>
      </c>
      <c r="L25" s="51" t="str">
        <f>IF(OR(L$2="",COUNT(الرصد!$C25:$Y25)=0),"",IFERROR(SUMIF(معالجة!$B$3:$X$3,L$2,الرصد!$C25:$Y25)/SUMIF(معالجة!$B$3:$X$3,L$2,معالجة!$B$4:$X$4),""))</f>
        <v/>
      </c>
      <c r="M25" s="51" t="str">
        <f>IF(OR(M$2="",COUNT(الرصد!$C25:$Y25)=0),"",IFERROR(SUMIF(معالجة!$B$3:$X$3,M$2,الرصد!$C25:$Y25)/SUMIF(معالجة!$B$3:$X$3,M$2,معالجة!$B$4:$X$4),""))</f>
        <v/>
      </c>
      <c r="N25" s="51" t="str">
        <f>IF(OR(N$2="",COUNT(الرصد!$C25:$Y25)=0),"",IFERROR(SUMIF(معالجة!$B$3:$X$3,N$2,الرصد!$C25:$Y25)/SUMIF(معالجة!$B$3:$X$3,N$2,معالجة!$B$4:$X$4),""))</f>
        <v/>
      </c>
      <c r="O25" s="51" t="str">
        <f>IF(OR(O$2="",COUNT(الرصد!$C25:$Y25)=0),"",IFERROR(SUMIF(معالجة!$B$3:$X$3,O$2,الرصد!$C25:$Y25)/SUMIF(معالجة!$B$3:$X$3,O$2,معالجة!$B$4:$X$4),""))</f>
        <v/>
      </c>
      <c r="P25" s="51" t="str">
        <f>IF(OR(P$2="",COUNT(الرصد!$C25:$Y25)=0),"",IFERROR(SUMIF(معالجة!$B$3:$X$3,P$2,الرصد!$C25:$Y25)/SUMIF(معالجة!$B$3:$X$3,P$2,معالجة!$B$4:$X$4),""))</f>
        <v/>
      </c>
      <c r="Q25" s="51" t="str">
        <f>IF(OR(Q$2="",COUNT(الرصد!$C25:$Y25)=0),"",IFERROR(SUMIF(معالجة!$B$3:$X$3,Q$2,الرصد!$C25:$Y25)/SUMIF(معالجة!$B$3:$X$3,Q$2,معالجة!$B$4:$X$4),""))</f>
        <v/>
      </c>
      <c r="R25" s="51" t="str">
        <f>IF(OR(R$2="",COUNT(الرصد!$C25:$Y25)=0),"",IFERROR(SUMIF(معالجة!$B$3:$X$3,R$2,الرصد!$C25:$Y25)/SUMIF(معالجة!$B$3:$X$3,R$2,معالجة!$B$4:$X$4),""))</f>
        <v/>
      </c>
      <c r="S25" s="51" t="str">
        <f>IF(OR(S$2="",COUNT(الرصد!$C25:$Y25)=0),"",IFERROR(SUMIF(معالجة!$B$3:$X$3,S$2,الرصد!$C25:$Y25)/SUMIF(معالجة!$B$3:$X$3,S$2,معالجة!$B$4:$X$4),""))</f>
        <v/>
      </c>
      <c r="T25" s="51" t="str">
        <f>IF(OR(T$2="",COUNT(الرصد!$C25:$Y25)=0),"",IFERROR(SUMIF(معالجة!$B$3:$X$3,T$2,الرصد!$C25:$Y25)/SUMIF(معالجة!$B$3:$X$3,T$2,معالجة!$B$4:$X$4),""))</f>
        <v/>
      </c>
      <c r="U25" s="51" t="str">
        <f>IF(OR(U$2="",COUNT(الرصد!$C25:$Y25)=0),"",IFERROR(SUMIF(معالجة!$B$3:$X$3,U$2,الرصد!$C25:$Y25)/SUMIF(معالجة!$B$3:$X$3,U$2,معالجة!$B$4:$X$4),""))</f>
        <v/>
      </c>
      <c r="V25" s="51" t="str">
        <f>IF(OR(V$2="",COUNT(الرصد!$C25:$Y25)=0),"",IFERROR(SUMIF(معالجة!$B$3:$X$3,V$2,الرصد!$C25:$Y25)/SUMIF(معالجة!$B$3:$X$3,V$2,معالجة!$B$4:$X$4),""))</f>
        <v/>
      </c>
      <c r="W25" s="51" t="str">
        <f>IFERROR(C25/المهارات!$G$27,"")</f>
        <v/>
      </c>
    </row>
    <row r="26" spans="1:23" ht="14.25" customHeight="1">
      <c r="A26" s="46" t="s">
        <v>95</v>
      </c>
      <c r="B26" s="46" t="s">
        <v>27</v>
      </c>
      <c r="C26" s="52" t="str">
        <f>IF(COUNT(الرصد!C26:Y26)=0,"",SUM(الرصد!C26:Y26))</f>
        <v/>
      </c>
      <c r="D26" s="51" t="str">
        <f>IF(OR(D$2="",COUNT(الرصد!$C26:$Y26)=0),"",IFERROR(SUMIF(معالجة!$B$3:$X$3,D$2,الرصد!$C26:$Y26)/SUMIF(معالجة!$B$3:$X$3,D$2,معالجة!$B$4:$X$4),""))</f>
        <v/>
      </c>
      <c r="E26" s="51" t="str">
        <f>IF(OR(E$2="",COUNT(الرصد!$C26:$Y26)=0),"",IFERROR(SUMIF(معالجة!$B$3:$X$3,E$2,الرصد!$C26:$Y26)/SUMIF(معالجة!$B$3:$X$3,E$2,معالجة!$B$4:$X$4),""))</f>
        <v/>
      </c>
      <c r="F26" s="51" t="str">
        <f>IF(OR(F$2="",COUNT(الرصد!$C26:$Y26)=0),"",IFERROR(SUMIF(معالجة!$B$3:$X$3,F$2,الرصد!$C26:$Y26)/SUMIF(معالجة!$B$3:$X$3,F$2,معالجة!$B$4:$X$4),""))</f>
        <v/>
      </c>
      <c r="G26" s="51" t="str">
        <f>IF(OR(G$2="",COUNT(الرصد!$C26:$Y26)=0),"",IFERROR(SUMIF(معالجة!$B$3:$X$3,G$2,الرصد!$C26:$Y26)/SUMIF(معالجة!$B$3:$X$3,G$2,معالجة!$B$4:$X$4),""))</f>
        <v/>
      </c>
      <c r="H26" s="51" t="str">
        <f>IF(OR(H$2="",COUNT(الرصد!$C26:$Y26)=0),"",IFERROR(SUMIF(معالجة!$B$3:$X$3,H$2,الرصد!$C26:$Y26)/SUMIF(معالجة!$B$3:$X$3,H$2,معالجة!$B$4:$X$4),""))</f>
        <v/>
      </c>
      <c r="I26" s="51" t="str">
        <f>IF(OR(I$2="",COUNT(الرصد!$C26:$Y26)=0),"",IFERROR(SUMIF(معالجة!$B$3:$X$3,I$2,الرصد!$C26:$Y26)/SUMIF(معالجة!$B$3:$X$3,I$2,معالجة!$B$4:$X$4),""))</f>
        <v/>
      </c>
      <c r="J26" s="51" t="str">
        <f>IF(OR(J$2="",COUNT(الرصد!$C26:$Y26)=0),"",IFERROR(SUMIF(معالجة!$B$3:$X$3,J$2,الرصد!$C26:$Y26)/SUMIF(معالجة!$B$3:$X$3,J$2,معالجة!$B$4:$X$4),""))</f>
        <v/>
      </c>
      <c r="K26" s="51" t="str">
        <f>IF(OR(K$2="",COUNT(الرصد!$C26:$Y26)=0),"",IFERROR(SUMIF(معالجة!$B$3:$X$3,K$2,الرصد!$C26:$Y26)/SUMIF(معالجة!$B$3:$X$3,K$2,معالجة!$B$4:$X$4),""))</f>
        <v/>
      </c>
      <c r="L26" s="51" t="str">
        <f>IF(OR(L$2="",COUNT(الرصد!$C26:$Y26)=0),"",IFERROR(SUMIF(معالجة!$B$3:$X$3,L$2,الرصد!$C26:$Y26)/SUMIF(معالجة!$B$3:$X$3,L$2,معالجة!$B$4:$X$4),""))</f>
        <v/>
      </c>
      <c r="M26" s="51" t="str">
        <f>IF(OR(M$2="",COUNT(الرصد!$C26:$Y26)=0),"",IFERROR(SUMIF(معالجة!$B$3:$X$3,M$2,الرصد!$C26:$Y26)/SUMIF(معالجة!$B$3:$X$3,M$2,معالجة!$B$4:$X$4),""))</f>
        <v/>
      </c>
      <c r="N26" s="51" t="str">
        <f>IF(OR(N$2="",COUNT(الرصد!$C26:$Y26)=0),"",IFERROR(SUMIF(معالجة!$B$3:$X$3,N$2,الرصد!$C26:$Y26)/SUMIF(معالجة!$B$3:$X$3,N$2,معالجة!$B$4:$X$4),""))</f>
        <v/>
      </c>
      <c r="O26" s="51" t="str">
        <f>IF(OR(O$2="",COUNT(الرصد!$C26:$Y26)=0),"",IFERROR(SUMIF(معالجة!$B$3:$X$3,O$2,الرصد!$C26:$Y26)/SUMIF(معالجة!$B$3:$X$3,O$2,معالجة!$B$4:$X$4),""))</f>
        <v/>
      </c>
      <c r="P26" s="51" t="str">
        <f>IF(OR(P$2="",COUNT(الرصد!$C26:$Y26)=0),"",IFERROR(SUMIF(معالجة!$B$3:$X$3,P$2,الرصد!$C26:$Y26)/SUMIF(معالجة!$B$3:$X$3,P$2,معالجة!$B$4:$X$4),""))</f>
        <v/>
      </c>
      <c r="Q26" s="51" t="str">
        <f>IF(OR(Q$2="",COUNT(الرصد!$C26:$Y26)=0),"",IFERROR(SUMIF(معالجة!$B$3:$X$3,Q$2,الرصد!$C26:$Y26)/SUMIF(معالجة!$B$3:$X$3,Q$2,معالجة!$B$4:$X$4),""))</f>
        <v/>
      </c>
      <c r="R26" s="51" t="str">
        <f>IF(OR(R$2="",COUNT(الرصد!$C26:$Y26)=0),"",IFERROR(SUMIF(معالجة!$B$3:$X$3,R$2,الرصد!$C26:$Y26)/SUMIF(معالجة!$B$3:$X$3,R$2,معالجة!$B$4:$X$4),""))</f>
        <v/>
      </c>
      <c r="S26" s="51" t="str">
        <f>IF(OR(S$2="",COUNT(الرصد!$C26:$Y26)=0),"",IFERROR(SUMIF(معالجة!$B$3:$X$3,S$2,الرصد!$C26:$Y26)/SUMIF(معالجة!$B$3:$X$3,S$2,معالجة!$B$4:$X$4),""))</f>
        <v/>
      </c>
      <c r="T26" s="51" t="str">
        <f>IF(OR(T$2="",COUNT(الرصد!$C26:$Y26)=0),"",IFERROR(SUMIF(معالجة!$B$3:$X$3,T$2,الرصد!$C26:$Y26)/SUMIF(معالجة!$B$3:$X$3,T$2,معالجة!$B$4:$X$4),""))</f>
        <v/>
      </c>
      <c r="U26" s="51" t="str">
        <f>IF(OR(U$2="",COUNT(الرصد!$C26:$Y26)=0),"",IFERROR(SUMIF(معالجة!$B$3:$X$3,U$2,الرصد!$C26:$Y26)/SUMIF(معالجة!$B$3:$X$3,U$2,معالجة!$B$4:$X$4),""))</f>
        <v/>
      </c>
      <c r="V26" s="51" t="str">
        <f>IF(OR(V$2="",COUNT(الرصد!$C26:$Y26)=0),"",IFERROR(SUMIF(معالجة!$B$3:$X$3,V$2,الرصد!$C26:$Y26)/SUMIF(معالجة!$B$3:$X$3,V$2,معالجة!$B$4:$X$4),""))</f>
        <v/>
      </c>
      <c r="W26" s="51" t="str">
        <f>IFERROR(C26/المهارات!$G$27,"")</f>
        <v/>
      </c>
    </row>
    <row r="27" spans="1:23" ht="14.25" customHeight="1">
      <c r="A27" s="42" t="s">
        <v>96</v>
      </c>
      <c r="B27" s="42" t="s">
        <v>27</v>
      </c>
      <c r="C27" s="50" t="str">
        <f>IF(COUNT(الرصد!C27:Y27)=0,"",SUM(الرصد!C27:Y27))</f>
        <v/>
      </c>
      <c r="D27" s="51" t="str">
        <f>IF(OR(D$2="",COUNT(الرصد!$C27:$Y27)=0),"",IFERROR(SUMIF(معالجة!$B$3:$X$3,D$2,الرصد!$C27:$Y27)/SUMIF(معالجة!$B$3:$X$3,D$2,معالجة!$B$4:$X$4),""))</f>
        <v/>
      </c>
      <c r="E27" s="51" t="str">
        <f>IF(OR(E$2="",COUNT(الرصد!$C27:$Y27)=0),"",IFERROR(SUMIF(معالجة!$B$3:$X$3,E$2,الرصد!$C27:$Y27)/SUMIF(معالجة!$B$3:$X$3,E$2,معالجة!$B$4:$X$4),""))</f>
        <v/>
      </c>
      <c r="F27" s="51" t="str">
        <f>IF(OR(F$2="",COUNT(الرصد!$C27:$Y27)=0),"",IFERROR(SUMIF(معالجة!$B$3:$X$3,F$2,الرصد!$C27:$Y27)/SUMIF(معالجة!$B$3:$X$3,F$2,معالجة!$B$4:$X$4),""))</f>
        <v/>
      </c>
      <c r="G27" s="51" t="str">
        <f>IF(OR(G$2="",COUNT(الرصد!$C27:$Y27)=0),"",IFERROR(SUMIF(معالجة!$B$3:$X$3,G$2,الرصد!$C27:$Y27)/SUMIF(معالجة!$B$3:$X$3,G$2,معالجة!$B$4:$X$4),""))</f>
        <v/>
      </c>
      <c r="H27" s="51" t="str">
        <f>IF(OR(H$2="",COUNT(الرصد!$C27:$Y27)=0),"",IFERROR(SUMIF(معالجة!$B$3:$X$3,H$2,الرصد!$C27:$Y27)/SUMIF(معالجة!$B$3:$X$3,H$2,معالجة!$B$4:$X$4),""))</f>
        <v/>
      </c>
      <c r="I27" s="51" t="str">
        <f>IF(OR(I$2="",COUNT(الرصد!$C27:$Y27)=0),"",IFERROR(SUMIF(معالجة!$B$3:$X$3,I$2,الرصد!$C27:$Y27)/SUMIF(معالجة!$B$3:$X$3,I$2,معالجة!$B$4:$X$4),""))</f>
        <v/>
      </c>
      <c r="J27" s="51" t="str">
        <f>IF(OR(J$2="",COUNT(الرصد!$C27:$Y27)=0),"",IFERROR(SUMIF(معالجة!$B$3:$X$3,J$2,الرصد!$C27:$Y27)/SUMIF(معالجة!$B$3:$X$3,J$2,معالجة!$B$4:$X$4),""))</f>
        <v/>
      </c>
      <c r="K27" s="51" t="str">
        <f>IF(OR(K$2="",COUNT(الرصد!$C27:$Y27)=0),"",IFERROR(SUMIF(معالجة!$B$3:$X$3,K$2,الرصد!$C27:$Y27)/SUMIF(معالجة!$B$3:$X$3,K$2,معالجة!$B$4:$X$4),""))</f>
        <v/>
      </c>
      <c r="L27" s="51" t="str">
        <f>IF(OR(L$2="",COUNT(الرصد!$C27:$Y27)=0),"",IFERROR(SUMIF(معالجة!$B$3:$X$3,L$2,الرصد!$C27:$Y27)/SUMIF(معالجة!$B$3:$X$3,L$2,معالجة!$B$4:$X$4),""))</f>
        <v/>
      </c>
      <c r="M27" s="51" t="str">
        <f>IF(OR(M$2="",COUNT(الرصد!$C27:$Y27)=0),"",IFERROR(SUMIF(معالجة!$B$3:$X$3,M$2,الرصد!$C27:$Y27)/SUMIF(معالجة!$B$3:$X$3,M$2,معالجة!$B$4:$X$4),""))</f>
        <v/>
      </c>
      <c r="N27" s="51" t="str">
        <f>IF(OR(N$2="",COUNT(الرصد!$C27:$Y27)=0),"",IFERROR(SUMIF(معالجة!$B$3:$X$3,N$2,الرصد!$C27:$Y27)/SUMIF(معالجة!$B$3:$X$3,N$2,معالجة!$B$4:$X$4),""))</f>
        <v/>
      </c>
      <c r="O27" s="51" t="str">
        <f>IF(OR(O$2="",COUNT(الرصد!$C27:$Y27)=0),"",IFERROR(SUMIF(معالجة!$B$3:$X$3,O$2,الرصد!$C27:$Y27)/SUMIF(معالجة!$B$3:$X$3,O$2,معالجة!$B$4:$X$4),""))</f>
        <v/>
      </c>
      <c r="P27" s="51" t="str">
        <f>IF(OR(P$2="",COUNT(الرصد!$C27:$Y27)=0),"",IFERROR(SUMIF(معالجة!$B$3:$X$3,P$2,الرصد!$C27:$Y27)/SUMIF(معالجة!$B$3:$X$3,P$2,معالجة!$B$4:$X$4),""))</f>
        <v/>
      </c>
      <c r="Q27" s="51" t="str">
        <f>IF(OR(Q$2="",COUNT(الرصد!$C27:$Y27)=0),"",IFERROR(SUMIF(معالجة!$B$3:$X$3,Q$2,الرصد!$C27:$Y27)/SUMIF(معالجة!$B$3:$X$3,Q$2,معالجة!$B$4:$X$4),""))</f>
        <v/>
      </c>
      <c r="R27" s="51" t="str">
        <f>IF(OR(R$2="",COUNT(الرصد!$C27:$Y27)=0),"",IFERROR(SUMIF(معالجة!$B$3:$X$3,R$2,الرصد!$C27:$Y27)/SUMIF(معالجة!$B$3:$X$3,R$2,معالجة!$B$4:$X$4),""))</f>
        <v/>
      </c>
      <c r="S27" s="51" t="str">
        <f>IF(OR(S$2="",COUNT(الرصد!$C27:$Y27)=0),"",IFERROR(SUMIF(معالجة!$B$3:$X$3,S$2,الرصد!$C27:$Y27)/SUMIF(معالجة!$B$3:$X$3,S$2,معالجة!$B$4:$X$4),""))</f>
        <v/>
      </c>
      <c r="T27" s="51" t="str">
        <f>IF(OR(T$2="",COUNT(الرصد!$C27:$Y27)=0),"",IFERROR(SUMIF(معالجة!$B$3:$X$3,T$2,الرصد!$C27:$Y27)/SUMIF(معالجة!$B$3:$X$3,T$2,معالجة!$B$4:$X$4),""))</f>
        <v/>
      </c>
      <c r="U27" s="51" t="str">
        <f>IF(OR(U$2="",COUNT(الرصد!$C27:$Y27)=0),"",IFERROR(SUMIF(معالجة!$B$3:$X$3,U$2,الرصد!$C27:$Y27)/SUMIF(معالجة!$B$3:$X$3,U$2,معالجة!$B$4:$X$4),""))</f>
        <v/>
      </c>
      <c r="V27" s="51" t="str">
        <f>IF(OR(V$2="",COUNT(الرصد!$C27:$Y27)=0),"",IFERROR(SUMIF(معالجة!$B$3:$X$3,V$2,الرصد!$C27:$Y27)/SUMIF(معالجة!$B$3:$X$3,V$2,معالجة!$B$4:$X$4),""))</f>
        <v/>
      </c>
      <c r="W27" s="51" t="str">
        <f>IFERROR(C27/المهارات!$G$27,"")</f>
        <v/>
      </c>
    </row>
    <row r="28" spans="1:23" ht="14.25" customHeight="1">
      <c r="A28" s="46" t="s">
        <v>97</v>
      </c>
      <c r="B28" s="46" t="s">
        <v>27</v>
      </c>
      <c r="C28" s="52" t="str">
        <f>IF(COUNT(الرصد!C28:Y28)=0,"",SUM(الرصد!C28:Y28))</f>
        <v/>
      </c>
      <c r="D28" s="51" t="str">
        <f>IF(OR(D$2="",COUNT(الرصد!$C28:$Y28)=0),"",IFERROR(SUMIF(معالجة!$B$3:$X$3,D$2,الرصد!$C28:$Y28)/SUMIF(معالجة!$B$3:$X$3,D$2,معالجة!$B$4:$X$4),""))</f>
        <v/>
      </c>
      <c r="E28" s="51" t="str">
        <f>IF(OR(E$2="",COUNT(الرصد!$C28:$Y28)=0),"",IFERROR(SUMIF(معالجة!$B$3:$X$3,E$2,الرصد!$C28:$Y28)/SUMIF(معالجة!$B$3:$X$3,E$2,معالجة!$B$4:$X$4),""))</f>
        <v/>
      </c>
      <c r="F28" s="51" t="str">
        <f>IF(OR(F$2="",COUNT(الرصد!$C28:$Y28)=0),"",IFERROR(SUMIF(معالجة!$B$3:$X$3,F$2,الرصد!$C28:$Y28)/SUMIF(معالجة!$B$3:$X$3,F$2,معالجة!$B$4:$X$4),""))</f>
        <v/>
      </c>
      <c r="G28" s="51" t="str">
        <f>IF(OR(G$2="",COUNT(الرصد!$C28:$Y28)=0),"",IFERROR(SUMIF(معالجة!$B$3:$X$3,G$2,الرصد!$C28:$Y28)/SUMIF(معالجة!$B$3:$X$3,G$2,معالجة!$B$4:$X$4),""))</f>
        <v/>
      </c>
      <c r="H28" s="51" t="str">
        <f>IF(OR(H$2="",COUNT(الرصد!$C28:$Y28)=0),"",IFERROR(SUMIF(معالجة!$B$3:$X$3,H$2,الرصد!$C28:$Y28)/SUMIF(معالجة!$B$3:$X$3,H$2,معالجة!$B$4:$X$4),""))</f>
        <v/>
      </c>
      <c r="I28" s="51" t="str">
        <f>IF(OR(I$2="",COUNT(الرصد!$C28:$Y28)=0),"",IFERROR(SUMIF(معالجة!$B$3:$X$3,I$2,الرصد!$C28:$Y28)/SUMIF(معالجة!$B$3:$X$3,I$2,معالجة!$B$4:$X$4),""))</f>
        <v/>
      </c>
      <c r="J28" s="51" t="str">
        <f>IF(OR(J$2="",COUNT(الرصد!$C28:$Y28)=0),"",IFERROR(SUMIF(معالجة!$B$3:$X$3,J$2,الرصد!$C28:$Y28)/SUMIF(معالجة!$B$3:$X$3,J$2,معالجة!$B$4:$X$4),""))</f>
        <v/>
      </c>
      <c r="K28" s="51" t="str">
        <f>IF(OR(K$2="",COUNT(الرصد!$C28:$Y28)=0),"",IFERROR(SUMIF(معالجة!$B$3:$X$3,K$2,الرصد!$C28:$Y28)/SUMIF(معالجة!$B$3:$X$3,K$2,معالجة!$B$4:$X$4),""))</f>
        <v/>
      </c>
      <c r="L28" s="51" t="str">
        <f>IF(OR(L$2="",COUNT(الرصد!$C28:$Y28)=0),"",IFERROR(SUMIF(معالجة!$B$3:$X$3,L$2,الرصد!$C28:$Y28)/SUMIF(معالجة!$B$3:$X$3,L$2,معالجة!$B$4:$X$4),""))</f>
        <v/>
      </c>
      <c r="M28" s="51" t="str">
        <f>IF(OR(M$2="",COUNT(الرصد!$C28:$Y28)=0),"",IFERROR(SUMIF(معالجة!$B$3:$X$3,M$2,الرصد!$C28:$Y28)/SUMIF(معالجة!$B$3:$X$3,M$2,معالجة!$B$4:$X$4),""))</f>
        <v/>
      </c>
      <c r="N28" s="51" t="str">
        <f>IF(OR(N$2="",COUNT(الرصد!$C28:$Y28)=0),"",IFERROR(SUMIF(معالجة!$B$3:$X$3,N$2,الرصد!$C28:$Y28)/SUMIF(معالجة!$B$3:$X$3,N$2,معالجة!$B$4:$X$4),""))</f>
        <v/>
      </c>
      <c r="O28" s="51" t="str">
        <f>IF(OR(O$2="",COUNT(الرصد!$C28:$Y28)=0),"",IFERROR(SUMIF(معالجة!$B$3:$X$3,O$2,الرصد!$C28:$Y28)/SUMIF(معالجة!$B$3:$X$3,O$2,معالجة!$B$4:$X$4),""))</f>
        <v/>
      </c>
      <c r="P28" s="51" t="str">
        <f>IF(OR(P$2="",COUNT(الرصد!$C28:$Y28)=0),"",IFERROR(SUMIF(معالجة!$B$3:$X$3,P$2,الرصد!$C28:$Y28)/SUMIF(معالجة!$B$3:$X$3,P$2,معالجة!$B$4:$X$4),""))</f>
        <v/>
      </c>
      <c r="Q28" s="51" t="str">
        <f>IF(OR(Q$2="",COUNT(الرصد!$C28:$Y28)=0),"",IFERROR(SUMIF(معالجة!$B$3:$X$3,Q$2,الرصد!$C28:$Y28)/SUMIF(معالجة!$B$3:$X$3,Q$2,معالجة!$B$4:$X$4),""))</f>
        <v/>
      </c>
      <c r="R28" s="51" t="str">
        <f>IF(OR(R$2="",COUNT(الرصد!$C28:$Y28)=0),"",IFERROR(SUMIF(معالجة!$B$3:$X$3,R$2,الرصد!$C28:$Y28)/SUMIF(معالجة!$B$3:$X$3,R$2,معالجة!$B$4:$X$4),""))</f>
        <v/>
      </c>
      <c r="S28" s="51" t="str">
        <f>IF(OR(S$2="",COUNT(الرصد!$C28:$Y28)=0),"",IFERROR(SUMIF(معالجة!$B$3:$X$3,S$2,الرصد!$C28:$Y28)/SUMIF(معالجة!$B$3:$X$3,S$2,معالجة!$B$4:$X$4),""))</f>
        <v/>
      </c>
      <c r="T28" s="51" t="str">
        <f>IF(OR(T$2="",COUNT(الرصد!$C28:$Y28)=0),"",IFERROR(SUMIF(معالجة!$B$3:$X$3,T$2,الرصد!$C28:$Y28)/SUMIF(معالجة!$B$3:$X$3,T$2,معالجة!$B$4:$X$4),""))</f>
        <v/>
      </c>
      <c r="U28" s="51" t="str">
        <f>IF(OR(U$2="",COUNT(الرصد!$C28:$Y28)=0),"",IFERROR(SUMIF(معالجة!$B$3:$X$3,U$2,الرصد!$C28:$Y28)/SUMIF(معالجة!$B$3:$X$3,U$2,معالجة!$B$4:$X$4),""))</f>
        <v/>
      </c>
      <c r="V28" s="51" t="str">
        <f>IF(OR(V$2="",COUNT(الرصد!$C28:$Y28)=0),"",IFERROR(SUMIF(معالجة!$B$3:$X$3,V$2,الرصد!$C28:$Y28)/SUMIF(معالجة!$B$3:$X$3,V$2,معالجة!$B$4:$X$4),""))</f>
        <v/>
      </c>
      <c r="W28" s="51" t="str">
        <f>IFERROR(C28/المهارات!$G$27,"")</f>
        <v/>
      </c>
    </row>
    <row r="29" spans="1:23" ht="14.25" customHeight="1">
      <c r="A29" s="42" t="s">
        <v>98</v>
      </c>
      <c r="B29" s="42" t="s">
        <v>27</v>
      </c>
      <c r="C29" s="50" t="str">
        <f>IF(COUNT(الرصد!C29:Y29)=0,"",SUM(الرصد!C29:Y29))</f>
        <v/>
      </c>
      <c r="D29" s="51" t="str">
        <f>IF(OR(D$2="",COUNT(الرصد!$C29:$Y29)=0),"",IFERROR(SUMIF(معالجة!$B$3:$X$3,D$2,الرصد!$C29:$Y29)/SUMIF(معالجة!$B$3:$X$3,D$2,معالجة!$B$4:$X$4),""))</f>
        <v/>
      </c>
      <c r="E29" s="51" t="str">
        <f>IF(OR(E$2="",COUNT(الرصد!$C29:$Y29)=0),"",IFERROR(SUMIF(معالجة!$B$3:$X$3,E$2,الرصد!$C29:$Y29)/SUMIF(معالجة!$B$3:$X$3,E$2,معالجة!$B$4:$X$4),""))</f>
        <v/>
      </c>
      <c r="F29" s="51" t="str">
        <f>IF(OR(F$2="",COUNT(الرصد!$C29:$Y29)=0),"",IFERROR(SUMIF(معالجة!$B$3:$X$3,F$2,الرصد!$C29:$Y29)/SUMIF(معالجة!$B$3:$X$3,F$2,معالجة!$B$4:$X$4),""))</f>
        <v/>
      </c>
      <c r="G29" s="51" t="str">
        <f>IF(OR(G$2="",COUNT(الرصد!$C29:$Y29)=0),"",IFERROR(SUMIF(معالجة!$B$3:$X$3,G$2,الرصد!$C29:$Y29)/SUMIF(معالجة!$B$3:$X$3,G$2,معالجة!$B$4:$X$4),""))</f>
        <v/>
      </c>
      <c r="H29" s="51" t="str">
        <f>IF(OR(H$2="",COUNT(الرصد!$C29:$Y29)=0),"",IFERROR(SUMIF(معالجة!$B$3:$X$3,H$2,الرصد!$C29:$Y29)/SUMIF(معالجة!$B$3:$X$3,H$2,معالجة!$B$4:$X$4),""))</f>
        <v/>
      </c>
      <c r="I29" s="51" t="str">
        <f>IF(OR(I$2="",COUNT(الرصد!$C29:$Y29)=0),"",IFERROR(SUMIF(معالجة!$B$3:$X$3,I$2,الرصد!$C29:$Y29)/SUMIF(معالجة!$B$3:$X$3,I$2,معالجة!$B$4:$X$4),""))</f>
        <v/>
      </c>
      <c r="J29" s="51" t="str">
        <f>IF(OR(J$2="",COUNT(الرصد!$C29:$Y29)=0),"",IFERROR(SUMIF(معالجة!$B$3:$X$3,J$2,الرصد!$C29:$Y29)/SUMIF(معالجة!$B$3:$X$3,J$2,معالجة!$B$4:$X$4),""))</f>
        <v/>
      </c>
      <c r="K29" s="51" t="str">
        <f>IF(OR(K$2="",COUNT(الرصد!$C29:$Y29)=0),"",IFERROR(SUMIF(معالجة!$B$3:$X$3,K$2,الرصد!$C29:$Y29)/SUMIF(معالجة!$B$3:$X$3,K$2,معالجة!$B$4:$X$4),""))</f>
        <v/>
      </c>
      <c r="L29" s="51" t="str">
        <f>IF(OR(L$2="",COUNT(الرصد!$C29:$Y29)=0),"",IFERROR(SUMIF(معالجة!$B$3:$X$3,L$2,الرصد!$C29:$Y29)/SUMIF(معالجة!$B$3:$X$3,L$2,معالجة!$B$4:$X$4),""))</f>
        <v/>
      </c>
      <c r="M29" s="51" t="str">
        <f>IF(OR(M$2="",COUNT(الرصد!$C29:$Y29)=0),"",IFERROR(SUMIF(معالجة!$B$3:$X$3,M$2,الرصد!$C29:$Y29)/SUMIF(معالجة!$B$3:$X$3,M$2,معالجة!$B$4:$X$4),""))</f>
        <v/>
      </c>
      <c r="N29" s="51" t="str">
        <f>IF(OR(N$2="",COUNT(الرصد!$C29:$Y29)=0),"",IFERROR(SUMIF(معالجة!$B$3:$X$3,N$2,الرصد!$C29:$Y29)/SUMIF(معالجة!$B$3:$X$3,N$2,معالجة!$B$4:$X$4),""))</f>
        <v/>
      </c>
      <c r="O29" s="51" t="str">
        <f>IF(OR(O$2="",COUNT(الرصد!$C29:$Y29)=0),"",IFERROR(SUMIF(معالجة!$B$3:$X$3,O$2,الرصد!$C29:$Y29)/SUMIF(معالجة!$B$3:$X$3,O$2,معالجة!$B$4:$X$4),""))</f>
        <v/>
      </c>
      <c r="P29" s="51" t="str">
        <f>IF(OR(P$2="",COUNT(الرصد!$C29:$Y29)=0),"",IFERROR(SUMIF(معالجة!$B$3:$X$3,P$2,الرصد!$C29:$Y29)/SUMIF(معالجة!$B$3:$X$3,P$2,معالجة!$B$4:$X$4),""))</f>
        <v/>
      </c>
      <c r="Q29" s="51" t="str">
        <f>IF(OR(Q$2="",COUNT(الرصد!$C29:$Y29)=0),"",IFERROR(SUMIF(معالجة!$B$3:$X$3,Q$2,الرصد!$C29:$Y29)/SUMIF(معالجة!$B$3:$X$3,Q$2,معالجة!$B$4:$X$4),""))</f>
        <v/>
      </c>
      <c r="R29" s="51" t="str">
        <f>IF(OR(R$2="",COUNT(الرصد!$C29:$Y29)=0),"",IFERROR(SUMIF(معالجة!$B$3:$X$3,R$2,الرصد!$C29:$Y29)/SUMIF(معالجة!$B$3:$X$3,R$2,معالجة!$B$4:$X$4),""))</f>
        <v/>
      </c>
      <c r="S29" s="51" t="str">
        <f>IF(OR(S$2="",COUNT(الرصد!$C29:$Y29)=0),"",IFERROR(SUMIF(معالجة!$B$3:$X$3,S$2,الرصد!$C29:$Y29)/SUMIF(معالجة!$B$3:$X$3,S$2,معالجة!$B$4:$X$4),""))</f>
        <v/>
      </c>
      <c r="T29" s="51" t="str">
        <f>IF(OR(T$2="",COUNT(الرصد!$C29:$Y29)=0),"",IFERROR(SUMIF(معالجة!$B$3:$X$3,T$2,الرصد!$C29:$Y29)/SUMIF(معالجة!$B$3:$X$3,T$2,معالجة!$B$4:$X$4),""))</f>
        <v/>
      </c>
      <c r="U29" s="51" t="str">
        <f>IF(OR(U$2="",COUNT(الرصد!$C29:$Y29)=0),"",IFERROR(SUMIF(معالجة!$B$3:$X$3,U$2,الرصد!$C29:$Y29)/SUMIF(معالجة!$B$3:$X$3,U$2,معالجة!$B$4:$X$4),""))</f>
        <v/>
      </c>
      <c r="V29" s="51" t="str">
        <f>IF(OR(V$2="",COUNT(الرصد!$C29:$Y29)=0),"",IFERROR(SUMIF(معالجة!$B$3:$X$3,V$2,الرصد!$C29:$Y29)/SUMIF(معالجة!$B$3:$X$3,V$2,معالجة!$B$4:$X$4),""))</f>
        <v/>
      </c>
      <c r="W29" s="51" t="str">
        <f>IFERROR(C29/المهارات!$G$27,"")</f>
        <v/>
      </c>
    </row>
    <row r="30" spans="1:23" ht="14.25" customHeight="1">
      <c r="A30" s="46" t="s">
        <v>99</v>
      </c>
      <c r="B30" s="46" t="s">
        <v>27</v>
      </c>
      <c r="C30" s="52" t="str">
        <f>IF(COUNT(الرصد!C30:Y30)=0,"",SUM(الرصد!C30:Y30))</f>
        <v/>
      </c>
      <c r="D30" s="51" t="str">
        <f>IF(OR(D$2="",COUNT(الرصد!$C30:$Y30)=0),"",IFERROR(SUMIF(معالجة!$B$3:$X$3,D$2,الرصد!$C30:$Y30)/SUMIF(معالجة!$B$3:$X$3,D$2,معالجة!$B$4:$X$4),""))</f>
        <v/>
      </c>
      <c r="E30" s="51" t="str">
        <f>IF(OR(E$2="",COUNT(الرصد!$C30:$Y30)=0),"",IFERROR(SUMIF(معالجة!$B$3:$X$3,E$2,الرصد!$C30:$Y30)/SUMIF(معالجة!$B$3:$X$3,E$2,معالجة!$B$4:$X$4),""))</f>
        <v/>
      </c>
      <c r="F30" s="51" t="str">
        <f>IF(OR(F$2="",COUNT(الرصد!$C30:$Y30)=0),"",IFERROR(SUMIF(معالجة!$B$3:$X$3,F$2,الرصد!$C30:$Y30)/SUMIF(معالجة!$B$3:$X$3,F$2,معالجة!$B$4:$X$4),""))</f>
        <v/>
      </c>
      <c r="G30" s="51" t="str">
        <f>IF(OR(G$2="",COUNT(الرصد!$C30:$Y30)=0),"",IFERROR(SUMIF(معالجة!$B$3:$X$3,G$2,الرصد!$C30:$Y30)/SUMIF(معالجة!$B$3:$X$3,G$2,معالجة!$B$4:$X$4),""))</f>
        <v/>
      </c>
      <c r="H30" s="51" t="str">
        <f>IF(OR(H$2="",COUNT(الرصد!$C30:$Y30)=0),"",IFERROR(SUMIF(معالجة!$B$3:$X$3,H$2,الرصد!$C30:$Y30)/SUMIF(معالجة!$B$3:$X$3,H$2,معالجة!$B$4:$X$4),""))</f>
        <v/>
      </c>
      <c r="I30" s="51" t="str">
        <f>IF(OR(I$2="",COUNT(الرصد!$C30:$Y30)=0),"",IFERROR(SUMIF(معالجة!$B$3:$X$3,I$2,الرصد!$C30:$Y30)/SUMIF(معالجة!$B$3:$X$3,I$2,معالجة!$B$4:$X$4),""))</f>
        <v/>
      </c>
      <c r="J30" s="51" t="str">
        <f>IF(OR(J$2="",COUNT(الرصد!$C30:$Y30)=0),"",IFERROR(SUMIF(معالجة!$B$3:$X$3,J$2,الرصد!$C30:$Y30)/SUMIF(معالجة!$B$3:$X$3,J$2,معالجة!$B$4:$X$4),""))</f>
        <v/>
      </c>
      <c r="K30" s="51" t="str">
        <f>IF(OR(K$2="",COUNT(الرصد!$C30:$Y30)=0),"",IFERROR(SUMIF(معالجة!$B$3:$X$3,K$2,الرصد!$C30:$Y30)/SUMIF(معالجة!$B$3:$X$3,K$2,معالجة!$B$4:$X$4),""))</f>
        <v/>
      </c>
      <c r="L30" s="51" t="str">
        <f>IF(OR(L$2="",COUNT(الرصد!$C30:$Y30)=0),"",IFERROR(SUMIF(معالجة!$B$3:$X$3,L$2,الرصد!$C30:$Y30)/SUMIF(معالجة!$B$3:$X$3,L$2,معالجة!$B$4:$X$4),""))</f>
        <v/>
      </c>
      <c r="M30" s="51" t="str">
        <f>IF(OR(M$2="",COUNT(الرصد!$C30:$Y30)=0),"",IFERROR(SUMIF(معالجة!$B$3:$X$3,M$2,الرصد!$C30:$Y30)/SUMIF(معالجة!$B$3:$X$3,M$2,معالجة!$B$4:$X$4),""))</f>
        <v/>
      </c>
      <c r="N30" s="51" t="str">
        <f>IF(OR(N$2="",COUNT(الرصد!$C30:$Y30)=0),"",IFERROR(SUMIF(معالجة!$B$3:$X$3,N$2,الرصد!$C30:$Y30)/SUMIF(معالجة!$B$3:$X$3,N$2,معالجة!$B$4:$X$4),""))</f>
        <v/>
      </c>
      <c r="O30" s="51" t="str">
        <f>IF(OR(O$2="",COUNT(الرصد!$C30:$Y30)=0),"",IFERROR(SUMIF(معالجة!$B$3:$X$3,O$2,الرصد!$C30:$Y30)/SUMIF(معالجة!$B$3:$X$3,O$2,معالجة!$B$4:$X$4),""))</f>
        <v/>
      </c>
      <c r="P30" s="51" t="str">
        <f>IF(OR(P$2="",COUNT(الرصد!$C30:$Y30)=0),"",IFERROR(SUMIF(معالجة!$B$3:$X$3,P$2,الرصد!$C30:$Y30)/SUMIF(معالجة!$B$3:$X$3,P$2,معالجة!$B$4:$X$4),""))</f>
        <v/>
      </c>
      <c r="Q30" s="51" t="str">
        <f>IF(OR(Q$2="",COUNT(الرصد!$C30:$Y30)=0),"",IFERROR(SUMIF(معالجة!$B$3:$X$3,Q$2,الرصد!$C30:$Y30)/SUMIF(معالجة!$B$3:$X$3,Q$2,معالجة!$B$4:$X$4),""))</f>
        <v/>
      </c>
      <c r="R30" s="51" t="str">
        <f>IF(OR(R$2="",COUNT(الرصد!$C30:$Y30)=0),"",IFERROR(SUMIF(معالجة!$B$3:$X$3,R$2,الرصد!$C30:$Y30)/SUMIF(معالجة!$B$3:$X$3,R$2,معالجة!$B$4:$X$4),""))</f>
        <v/>
      </c>
      <c r="S30" s="51" t="str">
        <f>IF(OR(S$2="",COUNT(الرصد!$C30:$Y30)=0),"",IFERROR(SUMIF(معالجة!$B$3:$X$3,S$2,الرصد!$C30:$Y30)/SUMIF(معالجة!$B$3:$X$3,S$2,معالجة!$B$4:$X$4),""))</f>
        <v/>
      </c>
      <c r="T30" s="51" t="str">
        <f>IF(OR(T$2="",COUNT(الرصد!$C30:$Y30)=0),"",IFERROR(SUMIF(معالجة!$B$3:$X$3,T$2,الرصد!$C30:$Y30)/SUMIF(معالجة!$B$3:$X$3,T$2,معالجة!$B$4:$X$4),""))</f>
        <v/>
      </c>
      <c r="U30" s="51" t="str">
        <f>IF(OR(U$2="",COUNT(الرصد!$C30:$Y30)=0),"",IFERROR(SUMIF(معالجة!$B$3:$X$3,U$2,الرصد!$C30:$Y30)/SUMIF(معالجة!$B$3:$X$3,U$2,معالجة!$B$4:$X$4),""))</f>
        <v/>
      </c>
      <c r="V30" s="51" t="str">
        <f>IF(OR(V$2="",COUNT(الرصد!$C30:$Y30)=0),"",IFERROR(SUMIF(معالجة!$B$3:$X$3,V$2,الرصد!$C30:$Y30)/SUMIF(معالجة!$B$3:$X$3,V$2,معالجة!$B$4:$X$4),""))</f>
        <v/>
      </c>
      <c r="W30" s="51" t="str">
        <f>IFERROR(C30/المهارات!$G$27,"")</f>
        <v/>
      </c>
    </row>
    <row r="31" spans="1:23" ht="14.25" customHeight="1">
      <c r="A31" s="42" t="s">
        <v>100</v>
      </c>
      <c r="B31" s="42" t="s">
        <v>27</v>
      </c>
      <c r="C31" s="50" t="str">
        <f>IF(COUNT(الرصد!C31:Y31)=0,"",SUM(الرصد!C31:Y31))</f>
        <v/>
      </c>
      <c r="D31" s="51" t="str">
        <f>IF(OR(D$2="",COUNT(الرصد!$C31:$Y31)=0),"",IFERROR(SUMIF(معالجة!$B$3:$X$3,D$2,الرصد!$C31:$Y31)/SUMIF(معالجة!$B$3:$X$3,D$2,معالجة!$B$4:$X$4),""))</f>
        <v/>
      </c>
      <c r="E31" s="51" t="str">
        <f>IF(OR(E$2="",COUNT(الرصد!$C31:$Y31)=0),"",IFERROR(SUMIF(معالجة!$B$3:$X$3,E$2,الرصد!$C31:$Y31)/SUMIF(معالجة!$B$3:$X$3,E$2,معالجة!$B$4:$X$4),""))</f>
        <v/>
      </c>
      <c r="F31" s="51" t="str">
        <f>IF(OR(F$2="",COUNT(الرصد!$C31:$Y31)=0),"",IFERROR(SUMIF(معالجة!$B$3:$X$3,F$2,الرصد!$C31:$Y31)/SUMIF(معالجة!$B$3:$X$3,F$2,معالجة!$B$4:$X$4),""))</f>
        <v/>
      </c>
      <c r="G31" s="51" t="str">
        <f>IF(OR(G$2="",COUNT(الرصد!$C31:$Y31)=0),"",IFERROR(SUMIF(معالجة!$B$3:$X$3,G$2,الرصد!$C31:$Y31)/SUMIF(معالجة!$B$3:$X$3,G$2,معالجة!$B$4:$X$4),""))</f>
        <v/>
      </c>
      <c r="H31" s="51" t="str">
        <f>IF(OR(H$2="",COUNT(الرصد!$C31:$Y31)=0),"",IFERROR(SUMIF(معالجة!$B$3:$X$3,H$2,الرصد!$C31:$Y31)/SUMIF(معالجة!$B$3:$X$3,H$2,معالجة!$B$4:$X$4),""))</f>
        <v/>
      </c>
      <c r="I31" s="51" t="str">
        <f>IF(OR(I$2="",COUNT(الرصد!$C31:$Y31)=0),"",IFERROR(SUMIF(معالجة!$B$3:$X$3,I$2,الرصد!$C31:$Y31)/SUMIF(معالجة!$B$3:$X$3,I$2,معالجة!$B$4:$X$4),""))</f>
        <v/>
      </c>
      <c r="J31" s="51" t="str">
        <f>IF(OR(J$2="",COUNT(الرصد!$C31:$Y31)=0),"",IFERROR(SUMIF(معالجة!$B$3:$X$3,J$2,الرصد!$C31:$Y31)/SUMIF(معالجة!$B$3:$X$3,J$2,معالجة!$B$4:$X$4),""))</f>
        <v/>
      </c>
      <c r="K31" s="51" t="str">
        <f>IF(OR(K$2="",COUNT(الرصد!$C31:$Y31)=0),"",IFERROR(SUMIF(معالجة!$B$3:$X$3,K$2,الرصد!$C31:$Y31)/SUMIF(معالجة!$B$3:$X$3,K$2,معالجة!$B$4:$X$4),""))</f>
        <v/>
      </c>
      <c r="L31" s="51" t="str">
        <f>IF(OR(L$2="",COUNT(الرصد!$C31:$Y31)=0),"",IFERROR(SUMIF(معالجة!$B$3:$X$3,L$2,الرصد!$C31:$Y31)/SUMIF(معالجة!$B$3:$X$3,L$2,معالجة!$B$4:$X$4),""))</f>
        <v/>
      </c>
      <c r="M31" s="51" t="str">
        <f>IF(OR(M$2="",COUNT(الرصد!$C31:$Y31)=0),"",IFERROR(SUMIF(معالجة!$B$3:$X$3,M$2,الرصد!$C31:$Y31)/SUMIF(معالجة!$B$3:$X$3,M$2,معالجة!$B$4:$X$4),""))</f>
        <v/>
      </c>
      <c r="N31" s="51" t="str">
        <f>IF(OR(N$2="",COUNT(الرصد!$C31:$Y31)=0),"",IFERROR(SUMIF(معالجة!$B$3:$X$3,N$2,الرصد!$C31:$Y31)/SUMIF(معالجة!$B$3:$X$3,N$2,معالجة!$B$4:$X$4),""))</f>
        <v/>
      </c>
      <c r="O31" s="51" t="str">
        <f>IF(OR(O$2="",COUNT(الرصد!$C31:$Y31)=0),"",IFERROR(SUMIF(معالجة!$B$3:$X$3,O$2,الرصد!$C31:$Y31)/SUMIF(معالجة!$B$3:$X$3,O$2,معالجة!$B$4:$X$4),""))</f>
        <v/>
      </c>
      <c r="P31" s="51" t="str">
        <f>IF(OR(P$2="",COUNT(الرصد!$C31:$Y31)=0),"",IFERROR(SUMIF(معالجة!$B$3:$X$3,P$2,الرصد!$C31:$Y31)/SUMIF(معالجة!$B$3:$X$3,P$2,معالجة!$B$4:$X$4),""))</f>
        <v/>
      </c>
      <c r="Q31" s="51" t="str">
        <f>IF(OR(Q$2="",COUNT(الرصد!$C31:$Y31)=0),"",IFERROR(SUMIF(معالجة!$B$3:$X$3,Q$2,الرصد!$C31:$Y31)/SUMIF(معالجة!$B$3:$X$3,Q$2,معالجة!$B$4:$X$4),""))</f>
        <v/>
      </c>
      <c r="R31" s="51" t="str">
        <f>IF(OR(R$2="",COUNT(الرصد!$C31:$Y31)=0),"",IFERROR(SUMIF(معالجة!$B$3:$X$3,R$2,الرصد!$C31:$Y31)/SUMIF(معالجة!$B$3:$X$3,R$2,معالجة!$B$4:$X$4),""))</f>
        <v/>
      </c>
      <c r="S31" s="51" t="str">
        <f>IF(OR(S$2="",COUNT(الرصد!$C31:$Y31)=0),"",IFERROR(SUMIF(معالجة!$B$3:$X$3,S$2,الرصد!$C31:$Y31)/SUMIF(معالجة!$B$3:$X$3,S$2,معالجة!$B$4:$X$4),""))</f>
        <v/>
      </c>
      <c r="T31" s="51" t="str">
        <f>IF(OR(T$2="",COUNT(الرصد!$C31:$Y31)=0),"",IFERROR(SUMIF(معالجة!$B$3:$X$3,T$2,الرصد!$C31:$Y31)/SUMIF(معالجة!$B$3:$X$3,T$2,معالجة!$B$4:$X$4),""))</f>
        <v/>
      </c>
      <c r="U31" s="51" t="str">
        <f>IF(OR(U$2="",COUNT(الرصد!$C31:$Y31)=0),"",IFERROR(SUMIF(معالجة!$B$3:$X$3,U$2,الرصد!$C31:$Y31)/SUMIF(معالجة!$B$3:$X$3,U$2,معالجة!$B$4:$X$4),""))</f>
        <v/>
      </c>
      <c r="V31" s="51" t="str">
        <f>IF(OR(V$2="",COUNT(الرصد!$C31:$Y31)=0),"",IFERROR(SUMIF(معالجة!$B$3:$X$3,V$2,الرصد!$C31:$Y31)/SUMIF(معالجة!$B$3:$X$3,V$2,معالجة!$B$4:$X$4),""))</f>
        <v/>
      </c>
      <c r="W31" s="51" t="str">
        <f>IFERROR(C31/المهارات!$G$27,"")</f>
        <v/>
      </c>
    </row>
    <row r="32" spans="1:23" ht="14.25" customHeight="1">
      <c r="A32" s="46" t="s">
        <v>101</v>
      </c>
      <c r="B32" s="46" t="s">
        <v>27</v>
      </c>
      <c r="C32" s="52" t="str">
        <f>IF(COUNT(الرصد!C32:Y32)=0,"",SUM(الرصد!C32:Y32))</f>
        <v/>
      </c>
      <c r="D32" s="51" t="str">
        <f>IF(OR(D$2="",COUNT(الرصد!$C32:$Y32)=0),"",IFERROR(SUMIF(معالجة!$B$3:$X$3,D$2,الرصد!$C32:$Y32)/SUMIF(معالجة!$B$3:$X$3,D$2,معالجة!$B$4:$X$4),""))</f>
        <v/>
      </c>
      <c r="E32" s="51" t="str">
        <f>IF(OR(E$2="",COUNT(الرصد!$C32:$Y32)=0),"",IFERROR(SUMIF(معالجة!$B$3:$X$3,E$2,الرصد!$C32:$Y32)/SUMIF(معالجة!$B$3:$X$3,E$2,معالجة!$B$4:$X$4),""))</f>
        <v/>
      </c>
      <c r="F32" s="51" t="str">
        <f>IF(OR(F$2="",COUNT(الرصد!$C32:$Y32)=0),"",IFERROR(SUMIF(معالجة!$B$3:$X$3,F$2,الرصد!$C32:$Y32)/SUMIF(معالجة!$B$3:$X$3,F$2,معالجة!$B$4:$X$4),""))</f>
        <v/>
      </c>
      <c r="G32" s="51" t="str">
        <f>IF(OR(G$2="",COUNT(الرصد!$C32:$Y32)=0),"",IFERROR(SUMIF(معالجة!$B$3:$X$3,G$2,الرصد!$C32:$Y32)/SUMIF(معالجة!$B$3:$X$3,G$2,معالجة!$B$4:$X$4),""))</f>
        <v/>
      </c>
      <c r="H32" s="51" t="str">
        <f>IF(OR(H$2="",COUNT(الرصد!$C32:$Y32)=0),"",IFERROR(SUMIF(معالجة!$B$3:$X$3,H$2,الرصد!$C32:$Y32)/SUMIF(معالجة!$B$3:$X$3,H$2,معالجة!$B$4:$X$4),""))</f>
        <v/>
      </c>
      <c r="I32" s="51" t="str">
        <f>IF(OR(I$2="",COUNT(الرصد!$C32:$Y32)=0),"",IFERROR(SUMIF(معالجة!$B$3:$X$3,I$2,الرصد!$C32:$Y32)/SUMIF(معالجة!$B$3:$X$3,I$2,معالجة!$B$4:$X$4),""))</f>
        <v/>
      </c>
      <c r="J32" s="51" t="str">
        <f>IF(OR(J$2="",COUNT(الرصد!$C32:$Y32)=0),"",IFERROR(SUMIF(معالجة!$B$3:$X$3,J$2,الرصد!$C32:$Y32)/SUMIF(معالجة!$B$3:$X$3,J$2,معالجة!$B$4:$X$4),""))</f>
        <v/>
      </c>
      <c r="K32" s="51" t="str">
        <f>IF(OR(K$2="",COUNT(الرصد!$C32:$Y32)=0),"",IFERROR(SUMIF(معالجة!$B$3:$X$3,K$2,الرصد!$C32:$Y32)/SUMIF(معالجة!$B$3:$X$3,K$2,معالجة!$B$4:$X$4),""))</f>
        <v/>
      </c>
      <c r="L32" s="51" t="str">
        <f>IF(OR(L$2="",COUNT(الرصد!$C32:$Y32)=0),"",IFERROR(SUMIF(معالجة!$B$3:$X$3,L$2,الرصد!$C32:$Y32)/SUMIF(معالجة!$B$3:$X$3,L$2,معالجة!$B$4:$X$4),""))</f>
        <v/>
      </c>
      <c r="M32" s="51" t="str">
        <f>IF(OR(M$2="",COUNT(الرصد!$C32:$Y32)=0),"",IFERROR(SUMIF(معالجة!$B$3:$X$3,M$2,الرصد!$C32:$Y32)/SUMIF(معالجة!$B$3:$X$3,M$2,معالجة!$B$4:$X$4),""))</f>
        <v/>
      </c>
      <c r="N32" s="51" t="str">
        <f>IF(OR(N$2="",COUNT(الرصد!$C32:$Y32)=0),"",IFERROR(SUMIF(معالجة!$B$3:$X$3,N$2,الرصد!$C32:$Y32)/SUMIF(معالجة!$B$3:$X$3,N$2,معالجة!$B$4:$X$4),""))</f>
        <v/>
      </c>
      <c r="O32" s="51" t="str">
        <f>IF(OR(O$2="",COUNT(الرصد!$C32:$Y32)=0),"",IFERROR(SUMIF(معالجة!$B$3:$X$3,O$2,الرصد!$C32:$Y32)/SUMIF(معالجة!$B$3:$X$3,O$2,معالجة!$B$4:$X$4),""))</f>
        <v/>
      </c>
      <c r="P32" s="51" t="str">
        <f>IF(OR(P$2="",COUNT(الرصد!$C32:$Y32)=0),"",IFERROR(SUMIF(معالجة!$B$3:$X$3,P$2,الرصد!$C32:$Y32)/SUMIF(معالجة!$B$3:$X$3,P$2,معالجة!$B$4:$X$4),""))</f>
        <v/>
      </c>
      <c r="Q32" s="51" t="str">
        <f>IF(OR(Q$2="",COUNT(الرصد!$C32:$Y32)=0),"",IFERROR(SUMIF(معالجة!$B$3:$X$3,Q$2,الرصد!$C32:$Y32)/SUMIF(معالجة!$B$3:$X$3,Q$2,معالجة!$B$4:$X$4),""))</f>
        <v/>
      </c>
      <c r="R32" s="51" t="str">
        <f>IF(OR(R$2="",COUNT(الرصد!$C32:$Y32)=0),"",IFERROR(SUMIF(معالجة!$B$3:$X$3,R$2,الرصد!$C32:$Y32)/SUMIF(معالجة!$B$3:$X$3,R$2,معالجة!$B$4:$X$4),""))</f>
        <v/>
      </c>
      <c r="S32" s="51" t="str">
        <f>IF(OR(S$2="",COUNT(الرصد!$C32:$Y32)=0),"",IFERROR(SUMIF(معالجة!$B$3:$X$3,S$2,الرصد!$C32:$Y32)/SUMIF(معالجة!$B$3:$X$3,S$2,معالجة!$B$4:$X$4),""))</f>
        <v/>
      </c>
      <c r="T32" s="51" t="str">
        <f>IF(OR(T$2="",COUNT(الرصد!$C32:$Y32)=0),"",IFERROR(SUMIF(معالجة!$B$3:$X$3,T$2,الرصد!$C32:$Y32)/SUMIF(معالجة!$B$3:$X$3,T$2,معالجة!$B$4:$X$4),""))</f>
        <v/>
      </c>
      <c r="U32" s="51" t="str">
        <f>IF(OR(U$2="",COUNT(الرصد!$C32:$Y32)=0),"",IFERROR(SUMIF(معالجة!$B$3:$X$3,U$2,الرصد!$C32:$Y32)/SUMIF(معالجة!$B$3:$X$3,U$2,معالجة!$B$4:$X$4),""))</f>
        <v/>
      </c>
      <c r="V32" s="51" t="str">
        <f>IF(OR(V$2="",COUNT(الرصد!$C32:$Y32)=0),"",IFERROR(SUMIF(معالجة!$B$3:$X$3,V$2,الرصد!$C32:$Y32)/SUMIF(معالجة!$B$3:$X$3,V$2,معالجة!$B$4:$X$4),""))</f>
        <v/>
      </c>
      <c r="W32" s="51" t="str">
        <f>IFERROR(C32/المهارات!$G$27,"")</f>
        <v/>
      </c>
    </row>
    <row r="33" spans="1:23" ht="14.25" customHeight="1">
      <c r="A33" s="42" t="s">
        <v>102</v>
      </c>
      <c r="B33" s="42" t="s">
        <v>27</v>
      </c>
      <c r="C33" s="50" t="str">
        <f>IF(COUNT(الرصد!C33:Y33)=0,"",SUM(الرصد!C33:Y33))</f>
        <v/>
      </c>
      <c r="D33" s="51" t="str">
        <f>IF(OR(D$2="",COUNT(الرصد!$C33:$Y33)=0),"",IFERROR(SUMIF(معالجة!$B$3:$X$3,D$2,الرصد!$C33:$Y33)/SUMIF(معالجة!$B$3:$X$3,D$2,معالجة!$B$4:$X$4),""))</f>
        <v/>
      </c>
      <c r="E33" s="51" t="str">
        <f>IF(OR(E$2="",COUNT(الرصد!$C33:$Y33)=0),"",IFERROR(SUMIF(معالجة!$B$3:$X$3,E$2,الرصد!$C33:$Y33)/SUMIF(معالجة!$B$3:$X$3,E$2,معالجة!$B$4:$X$4),""))</f>
        <v/>
      </c>
      <c r="F33" s="51" t="str">
        <f>IF(OR(F$2="",COUNT(الرصد!$C33:$Y33)=0),"",IFERROR(SUMIF(معالجة!$B$3:$X$3,F$2,الرصد!$C33:$Y33)/SUMIF(معالجة!$B$3:$X$3,F$2,معالجة!$B$4:$X$4),""))</f>
        <v/>
      </c>
      <c r="G33" s="51" t="str">
        <f>IF(OR(G$2="",COUNT(الرصد!$C33:$Y33)=0),"",IFERROR(SUMIF(معالجة!$B$3:$X$3,G$2,الرصد!$C33:$Y33)/SUMIF(معالجة!$B$3:$X$3,G$2,معالجة!$B$4:$X$4),""))</f>
        <v/>
      </c>
      <c r="H33" s="51" t="str">
        <f>IF(OR(H$2="",COUNT(الرصد!$C33:$Y33)=0),"",IFERROR(SUMIF(معالجة!$B$3:$X$3,H$2,الرصد!$C33:$Y33)/SUMIF(معالجة!$B$3:$X$3,H$2,معالجة!$B$4:$X$4),""))</f>
        <v/>
      </c>
      <c r="I33" s="51" t="str">
        <f>IF(OR(I$2="",COUNT(الرصد!$C33:$Y33)=0),"",IFERROR(SUMIF(معالجة!$B$3:$X$3,I$2,الرصد!$C33:$Y33)/SUMIF(معالجة!$B$3:$X$3,I$2,معالجة!$B$4:$X$4),""))</f>
        <v/>
      </c>
      <c r="J33" s="51" t="str">
        <f>IF(OR(J$2="",COUNT(الرصد!$C33:$Y33)=0),"",IFERROR(SUMIF(معالجة!$B$3:$X$3,J$2,الرصد!$C33:$Y33)/SUMIF(معالجة!$B$3:$X$3,J$2,معالجة!$B$4:$X$4),""))</f>
        <v/>
      </c>
      <c r="K33" s="51" t="str">
        <f>IF(OR(K$2="",COUNT(الرصد!$C33:$Y33)=0),"",IFERROR(SUMIF(معالجة!$B$3:$X$3,K$2,الرصد!$C33:$Y33)/SUMIF(معالجة!$B$3:$X$3,K$2,معالجة!$B$4:$X$4),""))</f>
        <v/>
      </c>
      <c r="L33" s="51" t="str">
        <f>IF(OR(L$2="",COUNT(الرصد!$C33:$Y33)=0),"",IFERROR(SUMIF(معالجة!$B$3:$X$3,L$2,الرصد!$C33:$Y33)/SUMIF(معالجة!$B$3:$X$3,L$2,معالجة!$B$4:$X$4),""))</f>
        <v/>
      </c>
      <c r="M33" s="51" t="str">
        <f>IF(OR(M$2="",COUNT(الرصد!$C33:$Y33)=0),"",IFERROR(SUMIF(معالجة!$B$3:$X$3,M$2,الرصد!$C33:$Y33)/SUMIF(معالجة!$B$3:$X$3,M$2,معالجة!$B$4:$X$4),""))</f>
        <v/>
      </c>
      <c r="N33" s="51" t="str">
        <f>IF(OR(N$2="",COUNT(الرصد!$C33:$Y33)=0),"",IFERROR(SUMIF(معالجة!$B$3:$X$3,N$2,الرصد!$C33:$Y33)/SUMIF(معالجة!$B$3:$X$3,N$2,معالجة!$B$4:$X$4),""))</f>
        <v/>
      </c>
      <c r="O33" s="51" t="str">
        <f>IF(OR(O$2="",COUNT(الرصد!$C33:$Y33)=0),"",IFERROR(SUMIF(معالجة!$B$3:$X$3,O$2,الرصد!$C33:$Y33)/SUMIF(معالجة!$B$3:$X$3,O$2,معالجة!$B$4:$X$4),""))</f>
        <v/>
      </c>
      <c r="P33" s="51" t="str">
        <f>IF(OR(P$2="",COUNT(الرصد!$C33:$Y33)=0),"",IFERROR(SUMIF(معالجة!$B$3:$X$3,P$2,الرصد!$C33:$Y33)/SUMIF(معالجة!$B$3:$X$3,P$2,معالجة!$B$4:$X$4),""))</f>
        <v/>
      </c>
      <c r="Q33" s="51" t="str">
        <f>IF(OR(Q$2="",COUNT(الرصد!$C33:$Y33)=0),"",IFERROR(SUMIF(معالجة!$B$3:$X$3,Q$2,الرصد!$C33:$Y33)/SUMIF(معالجة!$B$3:$X$3,Q$2,معالجة!$B$4:$X$4),""))</f>
        <v/>
      </c>
      <c r="R33" s="51" t="str">
        <f>IF(OR(R$2="",COUNT(الرصد!$C33:$Y33)=0),"",IFERROR(SUMIF(معالجة!$B$3:$X$3,R$2,الرصد!$C33:$Y33)/SUMIF(معالجة!$B$3:$X$3,R$2,معالجة!$B$4:$X$4),""))</f>
        <v/>
      </c>
      <c r="S33" s="51" t="str">
        <f>IF(OR(S$2="",COUNT(الرصد!$C33:$Y33)=0),"",IFERROR(SUMIF(معالجة!$B$3:$X$3,S$2,الرصد!$C33:$Y33)/SUMIF(معالجة!$B$3:$X$3,S$2,معالجة!$B$4:$X$4),""))</f>
        <v/>
      </c>
      <c r="T33" s="51" t="str">
        <f>IF(OR(T$2="",COUNT(الرصد!$C33:$Y33)=0),"",IFERROR(SUMIF(معالجة!$B$3:$X$3,T$2,الرصد!$C33:$Y33)/SUMIF(معالجة!$B$3:$X$3,T$2,معالجة!$B$4:$X$4),""))</f>
        <v/>
      </c>
      <c r="U33" s="51" t="str">
        <f>IF(OR(U$2="",COUNT(الرصد!$C33:$Y33)=0),"",IFERROR(SUMIF(معالجة!$B$3:$X$3,U$2,الرصد!$C33:$Y33)/SUMIF(معالجة!$B$3:$X$3,U$2,معالجة!$B$4:$X$4),""))</f>
        <v/>
      </c>
      <c r="V33" s="51" t="str">
        <f>IF(OR(V$2="",COUNT(الرصد!$C33:$Y33)=0),"",IFERROR(SUMIF(معالجة!$B$3:$X$3,V$2,الرصد!$C33:$Y33)/SUMIF(معالجة!$B$3:$X$3,V$2,معالجة!$B$4:$X$4),""))</f>
        <v/>
      </c>
      <c r="W33" s="51" t="str">
        <f>IFERROR(C33/المهارات!$G$27,"")</f>
        <v/>
      </c>
    </row>
    <row r="34" spans="1:23" ht="14.25" customHeight="1">
      <c r="A34" s="46" t="s">
        <v>103</v>
      </c>
      <c r="B34" s="46" t="s">
        <v>27</v>
      </c>
      <c r="C34" s="52" t="str">
        <f>IF(COUNT(الرصد!C34:Y34)=0,"",SUM(الرصد!C34:Y34))</f>
        <v/>
      </c>
      <c r="D34" s="51" t="str">
        <f>IF(OR(D$2="",COUNT(الرصد!$C34:$Y34)=0),"",IFERROR(SUMIF(معالجة!$B$3:$X$3,D$2,الرصد!$C34:$Y34)/SUMIF(معالجة!$B$3:$X$3,D$2,معالجة!$B$4:$X$4),""))</f>
        <v/>
      </c>
      <c r="E34" s="51" t="str">
        <f>IF(OR(E$2="",COUNT(الرصد!$C34:$Y34)=0),"",IFERROR(SUMIF(معالجة!$B$3:$X$3,E$2,الرصد!$C34:$Y34)/SUMIF(معالجة!$B$3:$X$3,E$2,معالجة!$B$4:$X$4),""))</f>
        <v/>
      </c>
      <c r="F34" s="51" t="str">
        <f>IF(OR(F$2="",COUNT(الرصد!$C34:$Y34)=0),"",IFERROR(SUMIF(معالجة!$B$3:$X$3,F$2,الرصد!$C34:$Y34)/SUMIF(معالجة!$B$3:$X$3,F$2,معالجة!$B$4:$X$4),""))</f>
        <v/>
      </c>
      <c r="G34" s="51" t="str">
        <f>IF(OR(G$2="",COUNT(الرصد!$C34:$Y34)=0),"",IFERROR(SUMIF(معالجة!$B$3:$X$3,G$2,الرصد!$C34:$Y34)/SUMIF(معالجة!$B$3:$X$3,G$2,معالجة!$B$4:$X$4),""))</f>
        <v/>
      </c>
      <c r="H34" s="51" t="str">
        <f>IF(OR(H$2="",COUNT(الرصد!$C34:$Y34)=0),"",IFERROR(SUMIF(معالجة!$B$3:$X$3,H$2,الرصد!$C34:$Y34)/SUMIF(معالجة!$B$3:$X$3,H$2,معالجة!$B$4:$X$4),""))</f>
        <v/>
      </c>
      <c r="I34" s="51" t="str">
        <f>IF(OR(I$2="",COUNT(الرصد!$C34:$Y34)=0),"",IFERROR(SUMIF(معالجة!$B$3:$X$3,I$2,الرصد!$C34:$Y34)/SUMIF(معالجة!$B$3:$X$3,I$2,معالجة!$B$4:$X$4),""))</f>
        <v/>
      </c>
      <c r="J34" s="51" t="str">
        <f>IF(OR(J$2="",COUNT(الرصد!$C34:$Y34)=0),"",IFERROR(SUMIF(معالجة!$B$3:$X$3,J$2,الرصد!$C34:$Y34)/SUMIF(معالجة!$B$3:$X$3,J$2,معالجة!$B$4:$X$4),""))</f>
        <v/>
      </c>
      <c r="K34" s="51" t="str">
        <f>IF(OR(K$2="",COUNT(الرصد!$C34:$Y34)=0),"",IFERROR(SUMIF(معالجة!$B$3:$X$3,K$2,الرصد!$C34:$Y34)/SUMIF(معالجة!$B$3:$X$3,K$2,معالجة!$B$4:$X$4),""))</f>
        <v/>
      </c>
      <c r="L34" s="51" t="str">
        <f>IF(OR(L$2="",COUNT(الرصد!$C34:$Y34)=0),"",IFERROR(SUMIF(معالجة!$B$3:$X$3,L$2,الرصد!$C34:$Y34)/SUMIF(معالجة!$B$3:$X$3,L$2,معالجة!$B$4:$X$4),""))</f>
        <v/>
      </c>
      <c r="M34" s="51" t="str">
        <f>IF(OR(M$2="",COUNT(الرصد!$C34:$Y34)=0),"",IFERROR(SUMIF(معالجة!$B$3:$X$3,M$2,الرصد!$C34:$Y34)/SUMIF(معالجة!$B$3:$X$3,M$2,معالجة!$B$4:$X$4),""))</f>
        <v/>
      </c>
      <c r="N34" s="51" t="str">
        <f>IF(OR(N$2="",COUNT(الرصد!$C34:$Y34)=0),"",IFERROR(SUMIF(معالجة!$B$3:$X$3,N$2,الرصد!$C34:$Y34)/SUMIF(معالجة!$B$3:$X$3,N$2,معالجة!$B$4:$X$4),""))</f>
        <v/>
      </c>
      <c r="O34" s="51" t="str">
        <f>IF(OR(O$2="",COUNT(الرصد!$C34:$Y34)=0),"",IFERROR(SUMIF(معالجة!$B$3:$X$3,O$2,الرصد!$C34:$Y34)/SUMIF(معالجة!$B$3:$X$3,O$2,معالجة!$B$4:$X$4),""))</f>
        <v/>
      </c>
      <c r="P34" s="51" t="str">
        <f>IF(OR(P$2="",COUNT(الرصد!$C34:$Y34)=0),"",IFERROR(SUMIF(معالجة!$B$3:$X$3,P$2,الرصد!$C34:$Y34)/SUMIF(معالجة!$B$3:$X$3,P$2,معالجة!$B$4:$X$4),""))</f>
        <v/>
      </c>
      <c r="Q34" s="51" t="str">
        <f>IF(OR(Q$2="",COUNT(الرصد!$C34:$Y34)=0),"",IFERROR(SUMIF(معالجة!$B$3:$X$3,Q$2,الرصد!$C34:$Y34)/SUMIF(معالجة!$B$3:$X$3,Q$2,معالجة!$B$4:$X$4),""))</f>
        <v/>
      </c>
      <c r="R34" s="51" t="str">
        <f>IF(OR(R$2="",COUNT(الرصد!$C34:$Y34)=0),"",IFERROR(SUMIF(معالجة!$B$3:$X$3,R$2,الرصد!$C34:$Y34)/SUMIF(معالجة!$B$3:$X$3,R$2,معالجة!$B$4:$X$4),""))</f>
        <v/>
      </c>
      <c r="S34" s="51" t="str">
        <f>IF(OR(S$2="",COUNT(الرصد!$C34:$Y34)=0),"",IFERROR(SUMIF(معالجة!$B$3:$X$3,S$2,الرصد!$C34:$Y34)/SUMIF(معالجة!$B$3:$X$3,S$2,معالجة!$B$4:$X$4),""))</f>
        <v/>
      </c>
      <c r="T34" s="51" t="str">
        <f>IF(OR(T$2="",COUNT(الرصد!$C34:$Y34)=0),"",IFERROR(SUMIF(معالجة!$B$3:$X$3,T$2,الرصد!$C34:$Y34)/SUMIF(معالجة!$B$3:$X$3,T$2,معالجة!$B$4:$X$4),""))</f>
        <v/>
      </c>
      <c r="U34" s="51" t="str">
        <f>IF(OR(U$2="",COUNT(الرصد!$C34:$Y34)=0),"",IFERROR(SUMIF(معالجة!$B$3:$X$3,U$2,الرصد!$C34:$Y34)/SUMIF(معالجة!$B$3:$X$3,U$2,معالجة!$B$4:$X$4),""))</f>
        <v/>
      </c>
      <c r="V34" s="51" t="str">
        <f>IF(OR(V$2="",COUNT(الرصد!$C34:$Y34)=0),"",IFERROR(SUMIF(معالجة!$B$3:$X$3,V$2,الرصد!$C34:$Y34)/SUMIF(معالجة!$B$3:$X$3,V$2,معالجة!$B$4:$X$4),""))</f>
        <v/>
      </c>
      <c r="W34" s="51" t="str">
        <f>IFERROR(C34/المهارات!$G$27,"")</f>
        <v/>
      </c>
    </row>
    <row r="35" spans="1:23" ht="14.25" customHeight="1">
      <c r="A35" s="42" t="s">
        <v>104</v>
      </c>
      <c r="B35" s="42" t="s">
        <v>27</v>
      </c>
      <c r="C35" s="50" t="str">
        <f>IF(COUNT(الرصد!C35:Y35)=0,"",SUM(الرصد!C35:Y35))</f>
        <v/>
      </c>
      <c r="D35" s="51" t="str">
        <f>IF(OR(D$2="",COUNT(الرصد!$C35:$Y35)=0),"",IFERROR(SUMIF(معالجة!$B$3:$X$3,D$2,الرصد!$C35:$Y35)/SUMIF(معالجة!$B$3:$X$3,D$2,معالجة!$B$4:$X$4),""))</f>
        <v/>
      </c>
      <c r="E35" s="51" t="str">
        <f>IF(OR(E$2="",COUNT(الرصد!$C35:$Y35)=0),"",IFERROR(SUMIF(معالجة!$B$3:$X$3,E$2,الرصد!$C35:$Y35)/SUMIF(معالجة!$B$3:$X$3,E$2,معالجة!$B$4:$X$4),""))</f>
        <v/>
      </c>
      <c r="F35" s="51" t="str">
        <f>IF(OR(F$2="",COUNT(الرصد!$C35:$Y35)=0),"",IFERROR(SUMIF(معالجة!$B$3:$X$3,F$2,الرصد!$C35:$Y35)/SUMIF(معالجة!$B$3:$X$3,F$2,معالجة!$B$4:$X$4),""))</f>
        <v/>
      </c>
      <c r="G35" s="51" t="str">
        <f>IF(OR(G$2="",COUNT(الرصد!$C35:$Y35)=0),"",IFERROR(SUMIF(معالجة!$B$3:$X$3,G$2,الرصد!$C35:$Y35)/SUMIF(معالجة!$B$3:$X$3,G$2,معالجة!$B$4:$X$4),""))</f>
        <v/>
      </c>
      <c r="H35" s="51" t="str">
        <f>IF(OR(H$2="",COUNT(الرصد!$C35:$Y35)=0),"",IFERROR(SUMIF(معالجة!$B$3:$X$3,H$2,الرصد!$C35:$Y35)/SUMIF(معالجة!$B$3:$X$3,H$2,معالجة!$B$4:$X$4),""))</f>
        <v/>
      </c>
      <c r="I35" s="51" t="str">
        <f>IF(OR(I$2="",COUNT(الرصد!$C35:$Y35)=0),"",IFERROR(SUMIF(معالجة!$B$3:$X$3,I$2,الرصد!$C35:$Y35)/SUMIF(معالجة!$B$3:$X$3,I$2,معالجة!$B$4:$X$4),""))</f>
        <v/>
      </c>
      <c r="J35" s="51" t="str">
        <f>IF(OR(J$2="",COUNT(الرصد!$C35:$Y35)=0),"",IFERROR(SUMIF(معالجة!$B$3:$X$3,J$2,الرصد!$C35:$Y35)/SUMIF(معالجة!$B$3:$X$3,J$2,معالجة!$B$4:$X$4),""))</f>
        <v/>
      </c>
      <c r="K35" s="51" t="str">
        <f>IF(OR(K$2="",COUNT(الرصد!$C35:$Y35)=0),"",IFERROR(SUMIF(معالجة!$B$3:$X$3,K$2,الرصد!$C35:$Y35)/SUMIF(معالجة!$B$3:$X$3,K$2,معالجة!$B$4:$X$4),""))</f>
        <v/>
      </c>
      <c r="L35" s="51" t="str">
        <f>IF(OR(L$2="",COUNT(الرصد!$C35:$Y35)=0),"",IFERROR(SUMIF(معالجة!$B$3:$X$3,L$2,الرصد!$C35:$Y35)/SUMIF(معالجة!$B$3:$X$3,L$2,معالجة!$B$4:$X$4),""))</f>
        <v/>
      </c>
      <c r="M35" s="51" t="str">
        <f>IF(OR(M$2="",COUNT(الرصد!$C35:$Y35)=0),"",IFERROR(SUMIF(معالجة!$B$3:$X$3,M$2,الرصد!$C35:$Y35)/SUMIF(معالجة!$B$3:$X$3,M$2,معالجة!$B$4:$X$4),""))</f>
        <v/>
      </c>
      <c r="N35" s="51" t="str">
        <f>IF(OR(N$2="",COUNT(الرصد!$C35:$Y35)=0),"",IFERROR(SUMIF(معالجة!$B$3:$X$3,N$2,الرصد!$C35:$Y35)/SUMIF(معالجة!$B$3:$X$3,N$2,معالجة!$B$4:$X$4),""))</f>
        <v/>
      </c>
      <c r="O35" s="51" t="str">
        <f>IF(OR(O$2="",COUNT(الرصد!$C35:$Y35)=0),"",IFERROR(SUMIF(معالجة!$B$3:$X$3,O$2,الرصد!$C35:$Y35)/SUMIF(معالجة!$B$3:$X$3,O$2,معالجة!$B$4:$X$4),""))</f>
        <v/>
      </c>
      <c r="P35" s="51" t="str">
        <f>IF(OR(P$2="",COUNT(الرصد!$C35:$Y35)=0),"",IFERROR(SUMIF(معالجة!$B$3:$X$3,P$2,الرصد!$C35:$Y35)/SUMIF(معالجة!$B$3:$X$3,P$2,معالجة!$B$4:$X$4),""))</f>
        <v/>
      </c>
      <c r="Q35" s="51" t="str">
        <f>IF(OR(Q$2="",COUNT(الرصد!$C35:$Y35)=0),"",IFERROR(SUMIF(معالجة!$B$3:$X$3,Q$2,الرصد!$C35:$Y35)/SUMIF(معالجة!$B$3:$X$3,Q$2,معالجة!$B$4:$X$4),""))</f>
        <v/>
      </c>
      <c r="R35" s="51" t="str">
        <f>IF(OR(R$2="",COUNT(الرصد!$C35:$Y35)=0),"",IFERROR(SUMIF(معالجة!$B$3:$X$3,R$2,الرصد!$C35:$Y35)/SUMIF(معالجة!$B$3:$X$3,R$2,معالجة!$B$4:$X$4),""))</f>
        <v/>
      </c>
      <c r="S35" s="51" t="str">
        <f>IF(OR(S$2="",COUNT(الرصد!$C35:$Y35)=0),"",IFERROR(SUMIF(معالجة!$B$3:$X$3,S$2,الرصد!$C35:$Y35)/SUMIF(معالجة!$B$3:$X$3,S$2,معالجة!$B$4:$X$4),""))</f>
        <v/>
      </c>
      <c r="T35" s="51" t="str">
        <f>IF(OR(T$2="",COUNT(الرصد!$C35:$Y35)=0),"",IFERROR(SUMIF(معالجة!$B$3:$X$3,T$2,الرصد!$C35:$Y35)/SUMIF(معالجة!$B$3:$X$3,T$2,معالجة!$B$4:$X$4),""))</f>
        <v/>
      </c>
      <c r="U35" s="51" t="str">
        <f>IF(OR(U$2="",COUNT(الرصد!$C35:$Y35)=0),"",IFERROR(SUMIF(معالجة!$B$3:$X$3,U$2,الرصد!$C35:$Y35)/SUMIF(معالجة!$B$3:$X$3,U$2,معالجة!$B$4:$X$4),""))</f>
        <v/>
      </c>
      <c r="V35" s="51" t="str">
        <f>IF(OR(V$2="",COUNT(الرصد!$C35:$Y35)=0),"",IFERROR(SUMIF(معالجة!$B$3:$X$3,V$2,الرصد!$C35:$Y35)/SUMIF(معالجة!$B$3:$X$3,V$2,معالجة!$B$4:$X$4),""))</f>
        <v/>
      </c>
      <c r="W35" s="51" t="str">
        <f>IFERROR(C35/المهارات!$G$27,"")</f>
        <v/>
      </c>
    </row>
    <row r="36" spans="1:23" ht="14.25" customHeight="1">
      <c r="A36" s="46" t="s">
        <v>105</v>
      </c>
      <c r="B36" s="46" t="s">
        <v>27</v>
      </c>
      <c r="C36" s="52" t="str">
        <f>IF(COUNT(الرصد!C36:Y36)=0,"",SUM(الرصد!C36:Y36))</f>
        <v/>
      </c>
      <c r="D36" s="51" t="str">
        <f>IF(OR(D$2="",COUNT(الرصد!$C36:$Y36)=0),"",IFERROR(SUMIF(معالجة!$B$3:$X$3,D$2,الرصد!$C36:$Y36)/SUMIF(معالجة!$B$3:$X$3,D$2,معالجة!$B$4:$X$4),""))</f>
        <v/>
      </c>
      <c r="E36" s="51" t="str">
        <f>IF(OR(E$2="",COUNT(الرصد!$C36:$Y36)=0),"",IFERROR(SUMIF(معالجة!$B$3:$X$3,E$2,الرصد!$C36:$Y36)/SUMIF(معالجة!$B$3:$X$3,E$2,معالجة!$B$4:$X$4),""))</f>
        <v/>
      </c>
      <c r="F36" s="51" t="str">
        <f>IF(OR(F$2="",COUNT(الرصد!$C36:$Y36)=0),"",IFERROR(SUMIF(معالجة!$B$3:$X$3,F$2,الرصد!$C36:$Y36)/SUMIF(معالجة!$B$3:$X$3,F$2,معالجة!$B$4:$X$4),""))</f>
        <v/>
      </c>
      <c r="G36" s="51" t="str">
        <f>IF(OR(G$2="",COUNT(الرصد!$C36:$Y36)=0),"",IFERROR(SUMIF(معالجة!$B$3:$X$3,G$2,الرصد!$C36:$Y36)/SUMIF(معالجة!$B$3:$X$3,G$2,معالجة!$B$4:$X$4),""))</f>
        <v/>
      </c>
      <c r="H36" s="51" t="str">
        <f>IF(OR(H$2="",COUNT(الرصد!$C36:$Y36)=0),"",IFERROR(SUMIF(معالجة!$B$3:$X$3,H$2,الرصد!$C36:$Y36)/SUMIF(معالجة!$B$3:$X$3,H$2,معالجة!$B$4:$X$4),""))</f>
        <v/>
      </c>
      <c r="I36" s="51" t="str">
        <f>IF(OR(I$2="",COUNT(الرصد!$C36:$Y36)=0),"",IFERROR(SUMIF(معالجة!$B$3:$X$3,I$2,الرصد!$C36:$Y36)/SUMIF(معالجة!$B$3:$X$3,I$2,معالجة!$B$4:$X$4),""))</f>
        <v/>
      </c>
      <c r="J36" s="51" t="str">
        <f>IF(OR(J$2="",COUNT(الرصد!$C36:$Y36)=0),"",IFERROR(SUMIF(معالجة!$B$3:$X$3,J$2,الرصد!$C36:$Y36)/SUMIF(معالجة!$B$3:$X$3,J$2,معالجة!$B$4:$X$4),""))</f>
        <v/>
      </c>
      <c r="K36" s="51" t="str">
        <f>IF(OR(K$2="",COUNT(الرصد!$C36:$Y36)=0),"",IFERROR(SUMIF(معالجة!$B$3:$X$3,K$2,الرصد!$C36:$Y36)/SUMIF(معالجة!$B$3:$X$3,K$2,معالجة!$B$4:$X$4),""))</f>
        <v/>
      </c>
      <c r="L36" s="51" t="str">
        <f>IF(OR(L$2="",COUNT(الرصد!$C36:$Y36)=0),"",IFERROR(SUMIF(معالجة!$B$3:$X$3,L$2,الرصد!$C36:$Y36)/SUMIF(معالجة!$B$3:$X$3,L$2,معالجة!$B$4:$X$4),""))</f>
        <v/>
      </c>
      <c r="M36" s="51" t="str">
        <f>IF(OR(M$2="",COUNT(الرصد!$C36:$Y36)=0),"",IFERROR(SUMIF(معالجة!$B$3:$X$3,M$2,الرصد!$C36:$Y36)/SUMIF(معالجة!$B$3:$X$3,M$2,معالجة!$B$4:$X$4),""))</f>
        <v/>
      </c>
      <c r="N36" s="51" t="str">
        <f>IF(OR(N$2="",COUNT(الرصد!$C36:$Y36)=0),"",IFERROR(SUMIF(معالجة!$B$3:$X$3,N$2,الرصد!$C36:$Y36)/SUMIF(معالجة!$B$3:$X$3,N$2,معالجة!$B$4:$X$4),""))</f>
        <v/>
      </c>
      <c r="O36" s="51" t="str">
        <f>IF(OR(O$2="",COUNT(الرصد!$C36:$Y36)=0),"",IFERROR(SUMIF(معالجة!$B$3:$X$3,O$2,الرصد!$C36:$Y36)/SUMIF(معالجة!$B$3:$X$3,O$2,معالجة!$B$4:$X$4),""))</f>
        <v/>
      </c>
      <c r="P36" s="51" t="str">
        <f>IF(OR(P$2="",COUNT(الرصد!$C36:$Y36)=0),"",IFERROR(SUMIF(معالجة!$B$3:$X$3,P$2,الرصد!$C36:$Y36)/SUMIF(معالجة!$B$3:$X$3,P$2,معالجة!$B$4:$X$4),""))</f>
        <v/>
      </c>
      <c r="Q36" s="51" t="str">
        <f>IF(OR(Q$2="",COUNT(الرصد!$C36:$Y36)=0),"",IFERROR(SUMIF(معالجة!$B$3:$X$3,Q$2,الرصد!$C36:$Y36)/SUMIF(معالجة!$B$3:$X$3,Q$2,معالجة!$B$4:$X$4),""))</f>
        <v/>
      </c>
      <c r="R36" s="51" t="str">
        <f>IF(OR(R$2="",COUNT(الرصد!$C36:$Y36)=0),"",IFERROR(SUMIF(معالجة!$B$3:$X$3,R$2,الرصد!$C36:$Y36)/SUMIF(معالجة!$B$3:$X$3,R$2,معالجة!$B$4:$X$4),""))</f>
        <v/>
      </c>
      <c r="S36" s="51" t="str">
        <f>IF(OR(S$2="",COUNT(الرصد!$C36:$Y36)=0),"",IFERROR(SUMIF(معالجة!$B$3:$X$3,S$2,الرصد!$C36:$Y36)/SUMIF(معالجة!$B$3:$X$3,S$2,معالجة!$B$4:$X$4),""))</f>
        <v/>
      </c>
      <c r="T36" s="51" t="str">
        <f>IF(OR(T$2="",COUNT(الرصد!$C36:$Y36)=0),"",IFERROR(SUMIF(معالجة!$B$3:$X$3,T$2,الرصد!$C36:$Y36)/SUMIF(معالجة!$B$3:$X$3,T$2,معالجة!$B$4:$X$4),""))</f>
        <v/>
      </c>
      <c r="U36" s="51" t="str">
        <f>IF(OR(U$2="",COUNT(الرصد!$C36:$Y36)=0),"",IFERROR(SUMIF(معالجة!$B$3:$X$3,U$2,الرصد!$C36:$Y36)/SUMIF(معالجة!$B$3:$X$3,U$2,معالجة!$B$4:$X$4),""))</f>
        <v/>
      </c>
      <c r="V36" s="51" t="str">
        <f>IF(OR(V$2="",COUNT(الرصد!$C36:$Y36)=0),"",IFERROR(SUMIF(معالجة!$B$3:$X$3,V$2,الرصد!$C36:$Y36)/SUMIF(معالجة!$B$3:$X$3,V$2,معالجة!$B$4:$X$4),""))</f>
        <v/>
      </c>
      <c r="W36" s="51" t="str">
        <f>IFERROR(C36/المهارات!$G$27,"")</f>
        <v/>
      </c>
    </row>
    <row r="37" spans="1:23" ht="14.25" customHeight="1">
      <c r="A37" s="42" t="s">
        <v>106</v>
      </c>
      <c r="B37" s="42" t="s">
        <v>27</v>
      </c>
      <c r="C37" s="50" t="str">
        <f>IF(COUNT(الرصد!C37:Y37)=0,"",SUM(الرصد!C37:Y37))</f>
        <v/>
      </c>
      <c r="D37" s="51" t="str">
        <f>IF(OR(D$2="",COUNT(الرصد!$C37:$Y37)=0),"",IFERROR(SUMIF(معالجة!$B$3:$X$3,D$2,الرصد!$C37:$Y37)/SUMIF(معالجة!$B$3:$X$3,D$2,معالجة!$B$4:$X$4),""))</f>
        <v/>
      </c>
      <c r="E37" s="51" t="str">
        <f>IF(OR(E$2="",COUNT(الرصد!$C37:$Y37)=0),"",IFERROR(SUMIF(معالجة!$B$3:$X$3,E$2,الرصد!$C37:$Y37)/SUMIF(معالجة!$B$3:$X$3,E$2,معالجة!$B$4:$X$4),""))</f>
        <v/>
      </c>
      <c r="F37" s="51" t="str">
        <f>IF(OR(F$2="",COUNT(الرصد!$C37:$Y37)=0),"",IFERROR(SUMIF(معالجة!$B$3:$X$3,F$2,الرصد!$C37:$Y37)/SUMIF(معالجة!$B$3:$X$3,F$2,معالجة!$B$4:$X$4),""))</f>
        <v/>
      </c>
      <c r="G37" s="51" t="str">
        <f>IF(OR(G$2="",COUNT(الرصد!$C37:$Y37)=0),"",IFERROR(SUMIF(معالجة!$B$3:$X$3,G$2,الرصد!$C37:$Y37)/SUMIF(معالجة!$B$3:$X$3,G$2,معالجة!$B$4:$X$4),""))</f>
        <v/>
      </c>
      <c r="H37" s="51" t="str">
        <f>IF(OR(H$2="",COUNT(الرصد!$C37:$Y37)=0),"",IFERROR(SUMIF(معالجة!$B$3:$X$3,H$2,الرصد!$C37:$Y37)/SUMIF(معالجة!$B$3:$X$3,H$2,معالجة!$B$4:$X$4),""))</f>
        <v/>
      </c>
      <c r="I37" s="51" t="str">
        <f>IF(OR(I$2="",COUNT(الرصد!$C37:$Y37)=0),"",IFERROR(SUMIF(معالجة!$B$3:$X$3,I$2,الرصد!$C37:$Y37)/SUMIF(معالجة!$B$3:$X$3,I$2,معالجة!$B$4:$X$4),""))</f>
        <v/>
      </c>
      <c r="J37" s="51" t="str">
        <f>IF(OR(J$2="",COUNT(الرصد!$C37:$Y37)=0),"",IFERROR(SUMIF(معالجة!$B$3:$X$3,J$2,الرصد!$C37:$Y37)/SUMIF(معالجة!$B$3:$X$3,J$2,معالجة!$B$4:$X$4),""))</f>
        <v/>
      </c>
      <c r="K37" s="51" t="str">
        <f>IF(OR(K$2="",COUNT(الرصد!$C37:$Y37)=0),"",IFERROR(SUMIF(معالجة!$B$3:$X$3,K$2,الرصد!$C37:$Y37)/SUMIF(معالجة!$B$3:$X$3,K$2,معالجة!$B$4:$X$4),""))</f>
        <v/>
      </c>
      <c r="L37" s="51" t="str">
        <f>IF(OR(L$2="",COUNT(الرصد!$C37:$Y37)=0),"",IFERROR(SUMIF(معالجة!$B$3:$X$3,L$2,الرصد!$C37:$Y37)/SUMIF(معالجة!$B$3:$X$3,L$2,معالجة!$B$4:$X$4),""))</f>
        <v/>
      </c>
      <c r="M37" s="51" t="str">
        <f>IF(OR(M$2="",COUNT(الرصد!$C37:$Y37)=0),"",IFERROR(SUMIF(معالجة!$B$3:$X$3,M$2,الرصد!$C37:$Y37)/SUMIF(معالجة!$B$3:$X$3,M$2,معالجة!$B$4:$X$4),""))</f>
        <v/>
      </c>
      <c r="N37" s="51" t="str">
        <f>IF(OR(N$2="",COUNT(الرصد!$C37:$Y37)=0),"",IFERROR(SUMIF(معالجة!$B$3:$X$3,N$2,الرصد!$C37:$Y37)/SUMIF(معالجة!$B$3:$X$3,N$2,معالجة!$B$4:$X$4),""))</f>
        <v/>
      </c>
      <c r="O37" s="51" t="str">
        <f>IF(OR(O$2="",COUNT(الرصد!$C37:$Y37)=0),"",IFERROR(SUMIF(معالجة!$B$3:$X$3,O$2,الرصد!$C37:$Y37)/SUMIF(معالجة!$B$3:$X$3,O$2,معالجة!$B$4:$X$4),""))</f>
        <v/>
      </c>
      <c r="P37" s="51" t="str">
        <f>IF(OR(P$2="",COUNT(الرصد!$C37:$Y37)=0),"",IFERROR(SUMIF(معالجة!$B$3:$X$3,P$2,الرصد!$C37:$Y37)/SUMIF(معالجة!$B$3:$X$3,P$2,معالجة!$B$4:$X$4),""))</f>
        <v/>
      </c>
      <c r="Q37" s="51" t="str">
        <f>IF(OR(Q$2="",COUNT(الرصد!$C37:$Y37)=0),"",IFERROR(SUMIF(معالجة!$B$3:$X$3,Q$2,الرصد!$C37:$Y37)/SUMIF(معالجة!$B$3:$X$3,Q$2,معالجة!$B$4:$X$4),""))</f>
        <v/>
      </c>
      <c r="R37" s="51" t="str">
        <f>IF(OR(R$2="",COUNT(الرصد!$C37:$Y37)=0),"",IFERROR(SUMIF(معالجة!$B$3:$X$3,R$2,الرصد!$C37:$Y37)/SUMIF(معالجة!$B$3:$X$3,R$2,معالجة!$B$4:$X$4),""))</f>
        <v/>
      </c>
      <c r="S37" s="51" t="str">
        <f>IF(OR(S$2="",COUNT(الرصد!$C37:$Y37)=0),"",IFERROR(SUMIF(معالجة!$B$3:$X$3,S$2,الرصد!$C37:$Y37)/SUMIF(معالجة!$B$3:$X$3,S$2,معالجة!$B$4:$X$4),""))</f>
        <v/>
      </c>
      <c r="T37" s="51" t="str">
        <f>IF(OR(T$2="",COUNT(الرصد!$C37:$Y37)=0),"",IFERROR(SUMIF(معالجة!$B$3:$X$3,T$2,الرصد!$C37:$Y37)/SUMIF(معالجة!$B$3:$X$3,T$2,معالجة!$B$4:$X$4),""))</f>
        <v/>
      </c>
      <c r="U37" s="51" t="str">
        <f>IF(OR(U$2="",COUNT(الرصد!$C37:$Y37)=0),"",IFERROR(SUMIF(معالجة!$B$3:$X$3,U$2,الرصد!$C37:$Y37)/SUMIF(معالجة!$B$3:$X$3,U$2,معالجة!$B$4:$X$4),""))</f>
        <v/>
      </c>
      <c r="V37" s="51" t="str">
        <f>IF(OR(V$2="",COUNT(الرصد!$C37:$Y37)=0),"",IFERROR(SUMIF(معالجة!$B$3:$X$3,V$2,الرصد!$C37:$Y37)/SUMIF(معالجة!$B$3:$X$3,V$2,معالجة!$B$4:$X$4),""))</f>
        <v/>
      </c>
      <c r="W37" s="51" t="str">
        <f>IFERROR(C37/المهارات!$G$27,"")</f>
        <v/>
      </c>
    </row>
    <row r="38" spans="1:23" ht="14.25" customHeight="1">
      <c r="A38" s="46" t="s">
        <v>107</v>
      </c>
      <c r="B38" s="46" t="s">
        <v>27</v>
      </c>
      <c r="C38" s="52" t="str">
        <f>IF(COUNT(الرصد!C38:Y38)=0,"",SUM(الرصد!C38:Y38))</f>
        <v/>
      </c>
      <c r="D38" s="51" t="str">
        <f>IF(OR(D$2="",COUNT(الرصد!$C38:$Y38)=0),"",IFERROR(SUMIF(معالجة!$B$3:$X$3,D$2,الرصد!$C38:$Y38)/SUMIF(معالجة!$B$3:$X$3,D$2,معالجة!$B$4:$X$4),""))</f>
        <v/>
      </c>
      <c r="E38" s="51" t="str">
        <f>IF(OR(E$2="",COUNT(الرصد!$C38:$Y38)=0),"",IFERROR(SUMIF(معالجة!$B$3:$X$3,E$2,الرصد!$C38:$Y38)/SUMIF(معالجة!$B$3:$X$3,E$2,معالجة!$B$4:$X$4),""))</f>
        <v/>
      </c>
      <c r="F38" s="51" t="str">
        <f>IF(OR(F$2="",COUNT(الرصد!$C38:$Y38)=0),"",IFERROR(SUMIF(معالجة!$B$3:$X$3,F$2,الرصد!$C38:$Y38)/SUMIF(معالجة!$B$3:$X$3,F$2,معالجة!$B$4:$X$4),""))</f>
        <v/>
      </c>
      <c r="G38" s="51" t="str">
        <f>IF(OR(G$2="",COUNT(الرصد!$C38:$Y38)=0),"",IFERROR(SUMIF(معالجة!$B$3:$X$3,G$2,الرصد!$C38:$Y38)/SUMIF(معالجة!$B$3:$X$3,G$2,معالجة!$B$4:$X$4),""))</f>
        <v/>
      </c>
      <c r="H38" s="51" t="str">
        <f>IF(OR(H$2="",COUNT(الرصد!$C38:$Y38)=0),"",IFERROR(SUMIF(معالجة!$B$3:$X$3,H$2,الرصد!$C38:$Y38)/SUMIF(معالجة!$B$3:$X$3,H$2,معالجة!$B$4:$X$4),""))</f>
        <v/>
      </c>
      <c r="I38" s="51" t="str">
        <f>IF(OR(I$2="",COUNT(الرصد!$C38:$Y38)=0),"",IFERROR(SUMIF(معالجة!$B$3:$X$3,I$2,الرصد!$C38:$Y38)/SUMIF(معالجة!$B$3:$X$3,I$2,معالجة!$B$4:$X$4),""))</f>
        <v/>
      </c>
      <c r="J38" s="51" t="str">
        <f>IF(OR(J$2="",COUNT(الرصد!$C38:$Y38)=0),"",IFERROR(SUMIF(معالجة!$B$3:$X$3,J$2,الرصد!$C38:$Y38)/SUMIF(معالجة!$B$3:$X$3,J$2,معالجة!$B$4:$X$4),""))</f>
        <v/>
      </c>
      <c r="K38" s="51" t="str">
        <f>IF(OR(K$2="",COUNT(الرصد!$C38:$Y38)=0),"",IFERROR(SUMIF(معالجة!$B$3:$X$3,K$2,الرصد!$C38:$Y38)/SUMIF(معالجة!$B$3:$X$3,K$2,معالجة!$B$4:$X$4),""))</f>
        <v/>
      </c>
      <c r="L38" s="51" t="str">
        <f>IF(OR(L$2="",COUNT(الرصد!$C38:$Y38)=0),"",IFERROR(SUMIF(معالجة!$B$3:$X$3,L$2,الرصد!$C38:$Y38)/SUMIF(معالجة!$B$3:$X$3,L$2,معالجة!$B$4:$X$4),""))</f>
        <v/>
      </c>
      <c r="M38" s="51" t="str">
        <f>IF(OR(M$2="",COUNT(الرصد!$C38:$Y38)=0),"",IFERROR(SUMIF(معالجة!$B$3:$X$3,M$2,الرصد!$C38:$Y38)/SUMIF(معالجة!$B$3:$X$3,M$2,معالجة!$B$4:$X$4),""))</f>
        <v/>
      </c>
      <c r="N38" s="51" t="str">
        <f>IF(OR(N$2="",COUNT(الرصد!$C38:$Y38)=0),"",IFERROR(SUMIF(معالجة!$B$3:$X$3,N$2,الرصد!$C38:$Y38)/SUMIF(معالجة!$B$3:$X$3,N$2,معالجة!$B$4:$X$4),""))</f>
        <v/>
      </c>
      <c r="O38" s="51" t="str">
        <f>IF(OR(O$2="",COUNT(الرصد!$C38:$Y38)=0),"",IFERROR(SUMIF(معالجة!$B$3:$X$3,O$2,الرصد!$C38:$Y38)/SUMIF(معالجة!$B$3:$X$3,O$2,معالجة!$B$4:$X$4),""))</f>
        <v/>
      </c>
      <c r="P38" s="51" t="str">
        <f>IF(OR(P$2="",COUNT(الرصد!$C38:$Y38)=0),"",IFERROR(SUMIF(معالجة!$B$3:$X$3,P$2,الرصد!$C38:$Y38)/SUMIF(معالجة!$B$3:$X$3,P$2,معالجة!$B$4:$X$4),""))</f>
        <v/>
      </c>
      <c r="Q38" s="51" t="str">
        <f>IF(OR(Q$2="",COUNT(الرصد!$C38:$Y38)=0),"",IFERROR(SUMIF(معالجة!$B$3:$X$3,Q$2,الرصد!$C38:$Y38)/SUMIF(معالجة!$B$3:$X$3,Q$2,معالجة!$B$4:$X$4),""))</f>
        <v/>
      </c>
      <c r="R38" s="51" t="str">
        <f>IF(OR(R$2="",COUNT(الرصد!$C38:$Y38)=0),"",IFERROR(SUMIF(معالجة!$B$3:$X$3,R$2,الرصد!$C38:$Y38)/SUMIF(معالجة!$B$3:$X$3,R$2,معالجة!$B$4:$X$4),""))</f>
        <v/>
      </c>
      <c r="S38" s="51" t="str">
        <f>IF(OR(S$2="",COUNT(الرصد!$C38:$Y38)=0),"",IFERROR(SUMIF(معالجة!$B$3:$X$3,S$2,الرصد!$C38:$Y38)/SUMIF(معالجة!$B$3:$X$3,S$2,معالجة!$B$4:$X$4),""))</f>
        <v/>
      </c>
      <c r="T38" s="51" t="str">
        <f>IF(OR(T$2="",COUNT(الرصد!$C38:$Y38)=0),"",IFERROR(SUMIF(معالجة!$B$3:$X$3,T$2,الرصد!$C38:$Y38)/SUMIF(معالجة!$B$3:$X$3,T$2,معالجة!$B$4:$X$4),""))</f>
        <v/>
      </c>
      <c r="U38" s="51" t="str">
        <f>IF(OR(U$2="",COUNT(الرصد!$C38:$Y38)=0),"",IFERROR(SUMIF(معالجة!$B$3:$X$3,U$2,الرصد!$C38:$Y38)/SUMIF(معالجة!$B$3:$X$3,U$2,معالجة!$B$4:$X$4),""))</f>
        <v/>
      </c>
      <c r="V38" s="51" t="str">
        <f>IF(OR(V$2="",COUNT(الرصد!$C38:$Y38)=0),"",IFERROR(SUMIF(معالجة!$B$3:$X$3,V$2,الرصد!$C38:$Y38)/SUMIF(معالجة!$B$3:$X$3,V$2,معالجة!$B$4:$X$4),""))</f>
        <v/>
      </c>
      <c r="W38" s="51" t="str">
        <f>IFERROR(C38/المهارات!$G$27,"")</f>
        <v/>
      </c>
    </row>
    <row r="39" spans="1:23" ht="14.25" customHeight="1">
      <c r="A39" s="42" t="s">
        <v>108</v>
      </c>
      <c r="B39" s="42" t="s">
        <v>27</v>
      </c>
      <c r="C39" s="50" t="str">
        <f>IF(COUNT(الرصد!C39:Y39)=0,"",SUM(الرصد!C39:Y39))</f>
        <v/>
      </c>
      <c r="D39" s="51" t="str">
        <f>IF(OR(D$2="",COUNT(الرصد!$C39:$Y39)=0),"",IFERROR(SUMIF(معالجة!$B$3:$X$3,D$2,الرصد!$C39:$Y39)/SUMIF(معالجة!$B$3:$X$3,D$2,معالجة!$B$4:$X$4),""))</f>
        <v/>
      </c>
      <c r="E39" s="51" t="str">
        <f>IF(OR(E$2="",COUNT(الرصد!$C39:$Y39)=0),"",IFERROR(SUMIF(معالجة!$B$3:$X$3,E$2,الرصد!$C39:$Y39)/SUMIF(معالجة!$B$3:$X$3,E$2,معالجة!$B$4:$X$4),""))</f>
        <v/>
      </c>
      <c r="F39" s="51" t="str">
        <f>IF(OR(F$2="",COUNT(الرصد!$C39:$Y39)=0),"",IFERROR(SUMIF(معالجة!$B$3:$X$3,F$2,الرصد!$C39:$Y39)/SUMIF(معالجة!$B$3:$X$3,F$2,معالجة!$B$4:$X$4),""))</f>
        <v/>
      </c>
      <c r="G39" s="51" t="str">
        <f>IF(OR(G$2="",COUNT(الرصد!$C39:$Y39)=0),"",IFERROR(SUMIF(معالجة!$B$3:$X$3,G$2,الرصد!$C39:$Y39)/SUMIF(معالجة!$B$3:$X$3,G$2,معالجة!$B$4:$X$4),""))</f>
        <v/>
      </c>
      <c r="H39" s="51" t="str">
        <f>IF(OR(H$2="",COUNT(الرصد!$C39:$Y39)=0),"",IFERROR(SUMIF(معالجة!$B$3:$X$3,H$2,الرصد!$C39:$Y39)/SUMIF(معالجة!$B$3:$X$3,H$2,معالجة!$B$4:$X$4),""))</f>
        <v/>
      </c>
      <c r="I39" s="51" t="str">
        <f>IF(OR(I$2="",COUNT(الرصد!$C39:$Y39)=0),"",IFERROR(SUMIF(معالجة!$B$3:$X$3,I$2,الرصد!$C39:$Y39)/SUMIF(معالجة!$B$3:$X$3,I$2,معالجة!$B$4:$X$4),""))</f>
        <v/>
      </c>
      <c r="J39" s="51" t="str">
        <f>IF(OR(J$2="",COUNT(الرصد!$C39:$Y39)=0),"",IFERROR(SUMIF(معالجة!$B$3:$X$3,J$2,الرصد!$C39:$Y39)/SUMIF(معالجة!$B$3:$X$3,J$2,معالجة!$B$4:$X$4),""))</f>
        <v/>
      </c>
      <c r="K39" s="51" t="str">
        <f>IF(OR(K$2="",COUNT(الرصد!$C39:$Y39)=0),"",IFERROR(SUMIF(معالجة!$B$3:$X$3,K$2,الرصد!$C39:$Y39)/SUMIF(معالجة!$B$3:$X$3,K$2,معالجة!$B$4:$X$4),""))</f>
        <v/>
      </c>
      <c r="L39" s="51" t="str">
        <f>IF(OR(L$2="",COUNT(الرصد!$C39:$Y39)=0),"",IFERROR(SUMIF(معالجة!$B$3:$X$3,L$2,الرصد!$C39:$Y39)/SUMIF(معالجة!$B$3:$X$3,L$2,معالجة!$B$4:$X$4),""))</f>
        <v/>
      </c>
      <c r="M39" s="51" t="str">
        <f>IF(OR(M$2="",COUNT(الرصد!$C39:$Y39)=0),"",IFERROR(SUMIF(معالجة!$B$3:$X$3,M$2,الرصد!$C39:$Y39)/SUMIF(معالجة!$B$3:$X$3,M$2,معالجة!$B$4:$X$4),""))</f>
        <v/>
      </c>
      <c r="N39" s="51" t="str">
        <f>IF(OR(N$2="",COUNT(الرصد!$C39:$Y39)=0),"",IFERROR(SUMIF(معالجة!$B$3:$X$3,N$2,الرصد!$C39:$Y39)/SUMIF(معالجة!$B$3:$X$3,N$2,معالجة!$B$4:$X$4),""))</f>
        <v/>
      </c>
      <c r="O39" s="51" t="str">
        <f>IF(OR(O$2="",COUNT(الرصد!$C39:$Y39)=0),"",IFERROR(SUMIF(معالجة!$B$3:$X$3,O$2,الرصد!$C39:$Y39)/SUMIF(معالجة!$B$3:$X$3,O$2,معالجة!$B$4:$X$4),""))</f>
        <v/>
      </c>
      <c r="P39" s="51" t="str">
        <f>IF(OR(P$2="",COUNT(الرصد!$C39:$Y39)=0),"",IFERROR(SUMIF(معالجة!$B$3:$X$3,P$2,الرصد!$C39:$Y39)/SUMIF(معالجة!$B$3:$X$3,P$2,معالجة!$B$4:$X$4),""))</f>
        <v/>
      </c>
      <c r="Q39" s="51" t="str">
        <f>IF(OR(Q$2="",COUNT(الرصد!$C39:$Y39)=0),"",IFERROR(SUMIF(معالجة!$B$3:$X$3,Q$2,الرصد!$C39:$Y39)/SUMIF(معالجة!$B$3:$X$3,Q$2,معالجة!$B$4:$X$4),""))</f>
        <v/>
      </c>
      <c r="R39" s="51" t="str">
        <f>IF(OR(R$2="",COUNT(الرصد!$C39:$Y39)=0),"",IFERROR(SUMIF(معالجة!$B$3:$X$3,R$2,الرصد!$C39:$Y39)/SUMIF(معالجة!$B$3:$X$3,R$2,معالجة!$B$4:$X$4),""))</f>
        <v/>
      </c>
      <c r="S39" s="51" t="str">
        <f>IF(OR(S$2="",COUNT(الرصد!$C39:$Y39)=0),"",IFERROR(SUMIF(معالجة!$B$3:$X$3,S$2,الرصد!$C39:$Y39)/SUMIF(معالجة!$B$3:$X$3,S$2,معالجة!$B$4:$X$4),""))</f>
        <v/>
      </c>
      <c r="T39" s="51" t="str">
        <f>IF(OR(T$2="",COUNT(الرصد!$C39:$Y39)=0),"",IFERROR(SUMIF(معالجة!$B$3:$X$3,T$2,الرصد!$C39:$Y39)/SUMIF(معالجة!$B$3:$X$3,T$2,معالجة!$B$4:$X$4),""))</f>
        <v/>
      </c>
      <c r="U39" s="51" t="str">
        <f>IF(OR(U$2="",COUNT(الرصد!$C39:$Y39)=0),"",IFERROR(SUMIF(معالجة!$B$3:$X$3,U$2,الرصد!$C39:$Y39)/SUMIF(معالجة!$B$3:$X$3,U$2,معالجة!$B$4:$X$4),""))</f>
        <v/>
      </c>
      <c r="V39" s="51" t="str">
        <f>IF(OR(V$2="",COUNT(الرصد!$C39:$Y39)=0),"",IFERROR(SUMIF(معالجة!$B$3:$X$3,V$2,الرصد!$C39:$Y39)/SUMIF(معالجة!$B$3:$X$3,V$2,معالجة!$B$4:$X$4),""))</f>
        <v/>
      </c>
      <c r="W39" s="51" t="str">
        <f>IFERROR(C39/المهارات!$G$27,"")</f>
        <v/>
      </c>
    </row>
    <row r="40" spans="1:23" ht="14.25" customHeight="1">
      <c r="A40" s="46" t="s">
        <v>109</v>
      </c>
      <c r="B40" s="46" t="s">
        <v>27</v>
      </c>
      <c r="C40" s="52" t="str">
        <f>IF(COUNT(الرصد!C40:Y40)=0,"",SUM(الرصد!C40:Y40))</f>
        <v/>
      </c>
      <c r="D40" s="51" t="str">
        <f>IF(OR(D$2="",COUNT(الرصد!$C40:$Y40)=0),"",IFERROR(SUMIF(معالجة!$B$3:$X$3,D$2,الرصد!$C40:$Y40)/SUMIF(معالجة!$B$3:$X$3,D$2,معالجة!$B$4:$X$4),""))</f>
        <v/>
      </c>
      <c r="E40" s="51" t="str">
        <f>IF(OR(E$2="",COUNT(الرصد!$C40:$Y40)=0),"",IFERROR(SUMIF(معالجة!$B$3:$X$3,E$2,الرصد!$C40:$Y40)/SUMIF(معالجة!$B$3:$X$3,E$2,معالجة!$B$4:$X$4),""))</f>
        <v/>
      </c>
      <c r="F40" s="51" t="str">
        <f>IF(OR(F$2="",COUNT(الرصد!$C40:$Y40)=0),"",IFERROR(SUMIF(معالجة!$B$3:$X$3,F$2,الرصد!$C40:$Y40)/SUMIF(معالجة!$B$3:$X$3,F$2,معالجة!$B$4:$X$4),""))</f>
        <v/>
      </c>
      <c r="G40" s="51" t="str">
        <f>IF(OR(G$2="",COUNT(الرصد!$C40:$Y40)=0),"",IFERROR(SUMIF(معالجة!$B$3:$X$3,G$2,الرصد!$C40:$Y40)/SUMIF(معالجة!$B$3:$X$3,G$2,معالجة!$B$4:$X$4),""))</f>
        <v/>
      </c>
      <c r="H40" s="51" t="str">
        <f>IF(OR(H$2="",COUNT(الرصد!$C40:$Y40)=0),"",IFERROR(SUMIF(معالجة!$B$3:$X$3,H$2,الرصد!$C40:$Y40)/SUMIF(معالجة!$B$3:$X$3,H$2,معالجة!$B$4:$X$4),""))</f>
        <v/>
      </c>
      <c r="I40" s="51" t="str">
        <f>IF(OR(I$2="",COUNT(الرصد!$C40:$Y40)=0),"",IFERROR(SUMIF(معالجة!$B$3:$X$3,I$2,الرصد!$C40:$Y40)/SUMIF(معالجة!$B$3:$X$3,I$2,معالجة!$B$4:$X$4),""))</f>
        <v/>
      </c>
      <c r="J40" s="51" t="str">
        <f>IF(OR(J$2="",COUNT(الرصد!$C40:$Y40)=0),"",IFERROR(SUMIF(معالجة!$B$3:$X$3,J$2,الرصد!$C40:$Y40)/SUMIF(معالجة!$B$3:$X$3,J$2,معالجة!$B$4:$X$4),""))</f>
        <v/>
      </c>
      <c r="K40" s="51" t="str">
        <f>IF(OR(K$2="",COUNT(الرصد!$C40:$Y40)=0),"",IFERROR(SUMIF(معالجة!$B$3:$X$3,K$2,الرصد!$C40:$Y40)/SUMIF(معالجة!$B$3:$X$3,K$2,معالجة!$B$4:$X$4),""))</f>
        <v/>
      </c>
      <c r="L40" s="51" t="str">
        <f>IF(OR(L$2="",COUNT(الرصد!$C40:$Y40)=0),"",IFERROR(SUMIF(معالجة!$B$3:$X$3,L$2,الرصد!$C40:$Y40)/SUMIF(معالجة!$B$3:$X$3,L$2,معالجة!$B$4:$X$4),""))</f>
        <v/>
      </c>
      <c r="M40" s="51" t="str">
        <f>IF(OR(M$2="",COUNT(الرصد!$C40:$Y40)=0),"",IFERROR(SUMIF(معالجة!$B$3:$X$3,M$2,الرصد!$C40:$Y40)/SUMIF(معالجة!$B$3:$X$3,M$2,معالجة!$B$4:$X$4),""))</f>
        <v/>
      </c>
      <c r="N40" s="51" t="str">
        <f>IF(OR(N$2="",COUNT(الرصد!$C40:$Y40)=0),"",IFERROR(SUMIF(معالجة!$B$3:$X$3,N$2,الرصد!$C40:$Y40)/SUMIF(معالجة!$B$3:$X$3,N$2,معالجة!$B$4:$X$4),""))</f>
        <v/>
      </c>
      <c r="O40" s="51" t="str">
        <f>IF(OR(O$2="",COUNT(الرصد!$C40:$Y40)=0),"",IFERROR(SUMIF(معالجة!$B$3:$X$3,O$2,الرصد!$C40:$Y40)/SUMIF(معالجة!$B$3:$X$3,O$2,معالجة!$B$4:$X$4),""))</f>
        <v/>
      </c>
      <c r="P40" s="51" t="str">
        <f>IF(OR(P$2="",COUNT(الرصد!$C40:$Y40)=0),"",IFERROR(SUMIF(معالجة!$B$3:$X$3,P$2,الرصد!$C40:$Y40)/SUMIF(معالجة!$B$3:$X$3,P$2,معالجة!$B$4:$X$4),""))</f>
        <v/>
      </c>
      <c r="Q40" s="51" t="str">
        <f>IF(OR(Q$2="",COUNT(الرصد!$C40:$Y40)=0),"",IFERROR(SUMIF(معالجة!$B$3:$X$3,Q$2,الرصد!$C40:$Y40)/SUMIF(معالجة!$B$3:$X$3,Q$2,معالجة!$B$4:$X$4),""))</f>
        <v/>
      </c>
      <c r="R40" s="51" t="str">
        <f>IF(OR(R$2="",COUNT(الرصد!$C40:$Y40)=0),"",IFERROR(SUMIF(معالجة!$B$3:$X$3,R$2,الرصد!$C40:$Y40)/SUMIF(معالجة!$B$3:$X$3,R$2,معالجة!$B$4:$X$4),""))</f>
        <v/>
      </c>
      <c r="S40" s="51" t="str">
        <f>IF(OR(S$2="",COUNT(الرصد!$C40:$Y40)=0),"",IFERROR(SUMIF(معالجة!$B$3:$X$3,S$2,الرصد!$C40:$Y40)/SUMIF(معالجة!$B$3:$X$3,S$2,معالجة!$B$4:$X$4),""))</f>
        <v/>
      </c>
      <c r="T40" s="51" t="str">
        <f>IF(OR(T$2="",COUNT(الرصد!$C40:$Y40)=0),"",IFERROR(SUMIF(معالجة!$B$3:$X$3,T$2,الرصد!$C40:$Y40)/SUMIF(معالجة!$B$3:$X$3,T$2,معالجة!$B$4:$X$4),""))</f>
        <v/>
      </c>
      <c r="U40" s="51" t="str">
        <f>IF(OR(U$2="",COUNT(الرصد!$C40:$Y40)=0),"",IFERROR(SUMIF(معالجة!$B$3:$X$3,U$2,الرصد!$C40:$Y40)/SUMIF(معالجة!$B$3:$X$3,U$2,معالجة!$B$4:$X$4),""))</f>
        <v/>
      </c>
      <c r="V40" s="51" t="str">
        <f>IF(OR(V$2="",COUNT(الرصد!$C40:$Y40)=0),"",IFERROR(SUMIF(معالجة!$B$3:$X$3,V$2,الرصد!$C40:$Y40)/SUMIF(معالجة!$B$3:$X$3,V$2,معالجة!$B$4:$X$4),""))</f>
        <v/>
      </c>
      <c r="W40" s="51" t="str">
        <f>IFERROR(C40/المهارات!$G$27,"")</f>
        <v/>
      </c>
    </row>
    <row r="41" spans="1:23" ht="14.25" customHeight="1">
      <c r="A41" s="42" t="s">
        <v>110</v>
      </c>
      <c r="B41" s="42" t="s">
        <v>27</v>
      </c>
      <c r="C41" s="50" t="str">
        <f>IF(COUNT(الرصد!C41:Y41)=0,"",SUM(الرصد!C41:Y41))</f>
        <v/>
      </c>
      <c r="D41" s="51" t="str">
        <f>IF(OR(D$2="",COUNT(الرصد!$C41:$Y41)=0),"",IFERROR(SUMIF(معالجة!$B$3:$X$3,D$2,الرصد!$C41:$Y41)/SUMIF(معالجة!$B$3:$X$3,D$2,معالجة!$B$4:$X$4),""))</f>
        <v/>
      </c>
      <c r="E41" s="51" t="str">
        <f>IF(OR(E$2="",COUNT(الرصد!$C41:$Y41)=0),"",IFERROR(SUMIF(معالجة!$B$3:$X$3,E$2,الرصد!$C41:$Y41)/SUMIF(معالجة!$B$3:$X$3,E$2,معالجة!$B$4:$X$4),""))</f>
        <v/>
      </c>
      <c r="F41" s="51" t="str">
        <f>IF(OR(F$2="",COUNT(الرصد!$C41:$Y41)=0),"",IFERROR(SUMIF(معالجة!$B$3:$X$3,F$2,الرصد!$C41:$Y41)/SUMIF(معالجة!$B$3:$X$3,F$2,معالجة!$B$4:$X$4),""))</f>
        <v/>
      </c>
      <c r="G41" s="51" t="str">
        <f>IF(OR(G$2="",COUNT(الرصد!$C41:$Y41)=0),"",IFERROR(SUMIF(معالجة!$B$3:$X$3,G$2,الرصد!$C41:$Y41)/SUMIF(معالجة!$B$3:$X$3,G$2,معالجة!$B$4:$X$4),""))</f>
        <v/>
      </c>
      <c r="H41" s="51" t="str">
        <f>IF(OR(H$2="",COUNT(الرصد!$C41:$Y41)=0),"",IFERROR(SUMIF(معالجة!$B$3:$X$3,H$2,الرصد!$C41:$Y41)/SUMIF(معالجة!$B$3:$X$3,H$2,معالجة!$B$4:$X$4),""))</f>
        <v/>
      </c>
      <c r="I41" s="51" t="str">
        <f>IF(OR(I$2="",COUNT(الرصد!$C41:$Y41)=0),"",IFERROR(SUMIF(معالجة!$B$3:$X$3,I$2,الرصد!$C41:$Y41)/SUMIF(معالجة!$B$3:$X$3,I$2,معالجة!$B$4:$X$4),""))</f>
        <v/>
      </c>
      <c r="J41" s="51" t="str">
        <f>IF(OR(J$2="",COUNT(الرصد!$C41:$Y41)=0),"",IFERROR(SUMIF(معالجة!$B$3:$X$3,J$2,الرصد!$C41:$Y41)/SUMIF(معالجة!$B$3:$X$3,J$2,معالجة!$B$4:$X$4),""))</f>
        <v/>
      </c>
      <c r="K41" s="51" t="str">
        <f>IF(OR(K$2="",COUNT(الرصد!$C41:$Y41)=0),"",IFERROR(SUMIF(معالجة!$B$3:$X$3,K$2,الرصد!$C41:$Y41)/SUMIF(معالجة!$B$3:$X$3,K$2,معالجة!$B$4:$X$4),""))</f>
        <v/>
      </c>
      <c r="L41" s="51" t="str">
        <f>IF(OR(L$2="",COUNT(الرصد!$C41:$Y41)=0),"",IFERROR(SUMIF(معالجة!$B$3:$X$3,L$2,الرصد!$C41:$Y41)/SUMIF(معالجة!$B$3:$X$3,L$2,معالجة!$B$4:$X$4),""))</f>
        <v/>
      </c>
      <c r="M41" s="51" t="str">
        <f>IF(OR(M$2="",COUNT(الرصد!$C41:$Y41)=0),"",IFERROR(SUMIF(معالجة!$B$3:$X$3,M$2,الرصد!$C41:$Y41)/SUMIF(معالجة!$B$3:$X$3,M$2,معالجة!$B$4:$X$4),""))</f>
        <v/>
      </c>
      <c r="N41" s="51" t="str">
        <f>IF(OR(N$2="",COUNT(الرصد!$C41:$Y41)=0),"",IFERROR(SUMIF(معالجة!$B$3:$X$3,N$2,الرصد!$C41:$Y41)/SUMIF(معالجة!$B$3:$X$3,N$2,معالجة!$B$4:$X$4),""))</f>
        <v/>
      </c>
      <c r="O41" s="51" t="str">
        <f>IF(OR(O$2="",COUNT(الرصد!$C41:$Y41)=0),"",IFERROR(SUMIF(معالجة!$B$3:$X$3,O$2,الرصد!$C41:$Y41)/SUMIF(معالجة!$B$3:$X$3,O$2,معالجة!$B$4:$X$4),""))</f>
        <v/>
      </c>
      <c r="P41" s="51" t="str">
        <f>IF(OR(P$2="",COUNT(الرصد!$C41:$Y41)=0),"",IFERROR(SUMIF(معالجة!$B$3:$X$3,P$2,الرصد!$C41:$Y41)/SUMIF(معالجة!$B$3:$X$3,P$2,معالجة!$B$4:$X$4),""))</f>
        <v/>
      </c>
      <c r="Q41" s="51" t="str">
        <f>IF(OR(Q$2="",COUNT(الرصد!$C41:$Y41)=0),"",IFERROR(SUMIF(معالجة!$B$3:$X$3,Q$2,الرصد!$C41:$Y41)/SUMIF(معالجة!$B$3:$X$3,Q$2,معالجة!$B$4:$X$4),""))</f>
        <v/>
      </c>
      <c r="R41" s="51" t="str">
        <f>IF(OR(R$2="",COUNT(الرصد!$C41:$Y41)=0),"",IFERROR(SUMIF(معالجة!$B$3:$X$3,R$2,الرصد!$C41:$Y41)/SUMIF(معالجة!$B$3:$X$3,R$2,معالجة!$B$4:$X$4),""))</f>
        <v/>
      </c>
      <c r="S41" s="51" t="str">
        <f>IF(OR(S$2="",COUNT(الرصد!$C41:$Y41)=0),"",IFERROR(SUMIF(معالجة!$B$3:$X$3,S$2,الرصد!$C41:$Y41)/SUMIF(معالجة!$B$3:$X$3,S$2,معالجة!$B$4:$X$4),""))</f>
        <v/>
      </c>
      <c r="T41" s="51" t="str">
        <f>IF(OR(T$2="",COUNT(الرصد!$C41:$Y41)=0),"",IFERROR(SUMIF(معالجة!$B$3:$X$3,T$2,الرصد!$C41:$Y41)/SUMIF(معالجة!$B$3:$X$3,T$2,معالجة!$B$4:$X$4),""))</f>
        <v/>
      </c>
      <c r="U41" s="51" t="str">
        <f>IF(OR(U$2="",COUNT(الرصد!$C41:$Y41)=0),"",IFERROR(SUMIF(معالجة!$B$3:$X$3,U$2,الرصد!$C41:$Y41)/SUMIF(معالجة!$B$3:$X$3,U$2,معالجة!$B$4:$X$4),""))</f>
        <v/>
      </c>
      <c r="V41" s="51" t="str">
        <f>IF(OR(V$2="",COUNT(الرصد!$C41:$Y41)=0),"",IFERROR(SUMIF(معالجة!$B$3:$X$3,V$2,الرصد!$C41:$Y41)/SUMIF(معالجة!$B$3:$X$3,V$2,معالجة!$B$4:$X$4),""))</f>
        <v/>
      </c>
      <c r="W41" s="51" t="str">
        <f>IFERROR(C41/المهارات!$G$27,"")</f>
        <v/>
      </c>
    </row>
    <row r="42" spans="1:23" ht="14.25" customHeight="1">
      <c r="A42" s="46" t="s">
        <v>111</v>
      </c>
      <c r="B42" s="46" t="s">
        <v>27</v>
      </c>
      <c r="C42" s="52" t="str">
        <f>IF(COUNT(الرصد!C42:Y42)=0,"",SUM(الرصد!C42:Y42))</f>
        <v/>
      </c>
      <c r="D42" s="51" t="str">
        <f>IF(OR(D$2="",COUNT(الرصد!$C42:$Y42)=0),"",IFERROR(SUMIF(معالجة!$B$3:$X$3,D$2,الرصد!$C42:$Y42)/SUMIF(معالجة!$B$3:$X$3,D$2,معالجة!$B$4:$X$4),""))</f>
        <v/>
      </c>
      <c r="E42" s="51" t="str">
        <f>IF(OR(E$2="",COUNT(الرصد!$C42:$Y42)=0),"",IFERROR(SUMIF(معالجة!$B$3:$X$3,E$2,الرصد!$C42:$Y42)/SUMIF(معالجة!$B$3:$X$3,E$2,معالجة!$B$4:$X$4),""))</f>
        <v/>
      </c>
      <c r="F42" s="51" t="str">
        <f>IF(OR(F$2="",COUNT(الرصد!$C42:$Y42)=0),"",IFERROR(SUMIF(معالجة!$B$3:$X$3,F$2,الرصد!$C42:$Y42)/SUMIF(معالجة!$B$3:$X$3,F$2,معالجة!$B$4:$X$4),""))</f>
        <v/>
      </c>
      <c r="G42" s="51" t="str">
        <f>IF(OR(G$2="",COUNT(الرصد!$C42:$Y42)=0),"",IFERROR(SUMIF(معالجة!$B$3:$X$3,G$2,الرصد!$C42:$Y42)/SUMIF(معالجة!$B$3:$X$3,G$2,معالجة!$B$4:$X$4),""))</f>
        <v/>
      </c>
      <c r="H42" s="51" t="str">
        <f>IF(OR(H$2="",COUNT(الرصد!$C42:$Y42)=0),"",IFERROR(SUMIF(معالجة!$B$3:$X$3,H$2,الرصد!$C42:$Y42)/SUMIF(معالجة!$B$3:$X$3,H$2,معالجة!$B$4:$X$4),""))</f>
        <v/>
      </c>
      <c r="I42" s="51" t="str">
        <f>IF(OR(I$2="",COUNT(الرصد!$C42:$Y42)=0),"",IFERROR(SUMIF(معالجة!$B$3:$X$3,I$2,الرصد!$C42:$Y42)/SUMIF(معالجة!$B$3:$X$3,I$2,معالجة!$B$4:$X$4),""))</f>
        <v/>
      </c>
      <c r="J42" s="51" t="str">
        <f>IF(OR(J$2="",COUNT(الرصد!$C42:$Y42)=0),"",IFERROR(SUMIF(معالجة!$B$3:$X$3,J$2,الرصد!$C42:$Y42)/SUMIF(معالجة!$B$3:$X$3,J$2,معالجة!$B$4:$X$4),""))</f>
        <v/>
      </c>
      <c r="K42" s="51" t="str">
        <f>IF(OR(K$2="",COUNT(الرصد!$C42:$Y42)=0),"",IFERROR(SUMIF(معالجة!$B$3:$X$3,K$2,الرصد!$C42:$Y42)/SUMIF(معالجة!$B$3:$X$3,K$2,معالجة!$B$4:$X$4),""))</f>
        <v/>
      </c>
      <c r="L42" s="51" t="str">
        <f>IF(OR(L$2="",COUNT(الرصد!$C42:$Y42)=0),"",IFERROR(SUMIF(معالجة!$B$3:$X$3,L$2,الرصد!$C42:$Y42)/SUMIF(معالجة!$B$3:$X$3,L$2,معالجة!$B$4:$X$4),""))</f>
        <v/>
      </c>
      <c r="M42" s="51" t="str">
        <f>IF(OR(M$2="",COUNT(الرصد!$C42:$Y42)=0),"",IFERROR(SUMIF(معالجة!$B$3:$X$3,M$2,الرصد!$C42:$Y42)/SUMIF(معالجة!$B$3:$X$3,M$2,معالجة!$B$4:$X$4),""))</f>
        <v/>
      </c>
      <c r="N42" s="51" t="str">
        <f>IF(OR(N$2="",COUNT(الرصد!$C42:$Y42)=0),"",IFERROR(SUMIF(معالجة!$B$3:$X$3,N$2,الرصد!$C42:$Y42)/SUMIF(معالجة!$B$3:$X$3,N$2,معالجة!$B$4:$X$4),""))</f>
        <v/>
      </c>
      <c r="O42" s="51" t="str">
        <f>IF(OR(O$2="",COUNT(الرصد!$C42:$Y42)=0),"",IFERROR(SUMIF(معالجة!$B$3:$X$3,O$2,الرصد!$C42:$Y42)/SUMIF(معالجة!$B$3:$X$3,O$2,معالجة!$B$4:$X$4),""))</f>
        <v/>
      </c>
      <c r="P42" s="51" t="str">
        <f>IF(OR(P$2="",COUNT(الرصد!$C42:$Y42)=0),"",IFERROR(SUMIF(معالجة!$B$3:$X$3,P$2,الرصد!$C42:$Y42)/SUMIF(معالجة!$B$3:$X$3,P$2,معالجة!$B$4:$X$4),""))</f>
        <v/>
      </c>
      <c r="Q42" s="51" t="str">
        <f>IF(OR(Q$2="",COUNT(الرصد!$C42:$Y42)=0),"",IFERROR(SUMIF(معالجة!$B$3:$X$3,Q$2,الرصد!$C42:$Y42)/SUMIF(معالجة!$B$3:$X$3,Q$2,معالجة!$B$4:$X$4),""))</f>
        <v/>
      </c>
      <c r="R42" s="51" t="str">
        <f>IF(OR(R$2="",COUNT(الرصد!$C42:$Y42)=0),"",IFERROR(SUMIF(معالجة!$B$3:$X$3,R$2,الرصد!$C42:$Y42)/SUMIF(معالجة!$B$3:$X$3,R$2,معالجة!$B$4:$X$4),""))</f>
        <v/>
      </c>
      <c r="S42" s="51" t="str">
        <f>IF(OR(S$2="",COUNT(الرصد!$C42:$Y42)=0),"",IFERROR(SUMIF(معالجة!$B$3:$X$3,S$2,الرصد!$C42:$Y42)/SUMIF(معالجة!$B$3:$X$3,S$2,معالجة!$B$4:$X$4),""))</f>
        <v/>
      </c>
      <c r="T42" s="51" t="str">
        <f>IF(OR(T$2="",COUNT(الرصد!$C42:$Y42)=0),"",IFERROR(SUMIF(معالجة!$B$3:$X$3,T$2,الرصد!$C42:$Y42)/SUMIF(معالجة!$B$3:$X$3,T$2,معالجة!$B$4:$X$4),""))</f>
        <v/>
      </c>
      <c r="U42" s="51" t="str">
        <f>IF(OR(U$2="",COUNT(الرصد!$C42:$Y42)=0),"",IFERROR(SUMIF(معالجة!$B$3:$X$3,U$2,الرصد!$C42:$Y42)/SUMIF(معالجة!$B$3:$X$3,U$2,معالجة!$B$4:$X$4),""))</f>
        <v/>
      </c>
      <c r="V42" s="51" t="str">
        <f>IF(OR(V$2="",COUNT(الرصد!$C42:$Y42)=0),"",IFERROR(SUMIF(معالجة!$B$3:$X$3,V$2,الرصد!$C42:$Y42)/SUMIF(معالجة!$B$3:$X$3,V$2,معالجة!$B$4:$X$4),""))</f>
        <v/>
      </c>
      <c r="W42" s="51" t="str">
        <f>IFERROR(C42/المهارات!$G$27,"")</f>
        <v/>
      </c>
    </row>
    <row r="43" spans="1:23" ht="14.25" customHeight="1">
      <c r="A43" s="42" t="s">
        <v>112</v>
      </c>
      <c r="B43" s="42" t="s">
        <v>27</v>
      </c>
      <c r="C43" s="50" t="str">
        <f>IF(COUNT(الرصد!C43:Y43)=0,"",SUM(الرصد!C43:Y43))</f>
        <v/>
      </c>
      <c r="D43" s="51" t="str">
        <f>IF(OR(D$2="",COUNT(الرصد!$C43:$Y43)=0),"",IFERROR(SUMIF(معالجة!$B$3:$X$3,D$2,الرصد!$C43:$Y43)/SUMIF(معالجة!$B$3:$X$3,D$2,معالجة!$B$4:$X$4),""))</f>
        <v/>
      </c>
      <c r="E43" s="51" t="str">
        <f>IF(OR(E$2="",COUNT(الرصد!$C43:$Y43)=0),"",IFERROR(SUMIF(معالجة!$B$3:$X$3,E$2,الرصد!$C43:$Y43)/SUMIF(معالجة!$B$3:$X$3,E$2,معالجة!$B$4:$X$4),""))</f>
        <v/>
      </c>
      <c r="F43" s="51" t="str">
        <f>IF(OR(F$2="",COUNT(الرصد!$C43:$Y43)=0),"",IFERROR(SUMIF(معالجة!$B$3:$X$3,F$2,الرصد!$C43:$Y43)/SUMIF(معالجة!$B$3:$X$3,F$2,معالجة!$B$4:$X$4),""))</f>
        <v/>
      </c>
      <c r="G43" s="51" t="str">
        <f>IF(OR(G$2="",COUNT(الرصد!$C43:$Y43)=0),"",IFERROR(SUMIF(معالجة!$B$3:$X$3,G$2,الرصد!$C43:$Y43)/SUMIF(معالجة!$B$3:$X$3,G$2,معالجة!$B$4:$X$4),""))</f>
        <v/>
      </c>
      <c r="H43" s="51" t="str">
        <f>IF(OR(H$2="",COUNT(الرصد!$C43:$Y43)=0),"",IFERROR(SUMIF(معالجة!$B$3:$X$3,H$2,الرصد!$C43:$Y43)/SUMIF(معالجة!$B$3:$X$3,H$2,معالجة!$B$4:$X$4),""))</f>
        <v/>
      </c>
      <c r="I43" s="51" t="str">
        <f>IF(OR(I$2="",COUNT(الرصد!$C43:$Y43)=0),"",IFERROR(SUMIF(معالجة!$B$3:$X$3,I$2,الرصد!$C43:$Y43)/SUMIF(معالجة!$B$3:$X$3,I$2,معالجة!$B$4:$X$4),""))</f>
        <v/>
      </c>
      <c r="J43" s="51" t="str">
        <f>IF(OR(J$2="",COUNT(الرصد!$C43:$Y43)=0),"",IFERROR(SUMIF(معالجة!$B$3:$X$3,J$2,الرصد!$C43:$Y43)/SUMIF(معالجة!$B$3:$X$3,J$2,معالجة!$B$4:$X$4),""))</f>
        <v/>
      </c>
      <c r="K43" s="51" t="str">
        <f>IF(OR(K$2="",COUNT(الرصد!$C43:$Y43)=0),"",IFERROR(SUMIF(معالجة!$B$3:$X$3,K$2,الرصد!$C43:$Y43)/SUMIF(معالجة!$B$3:$X$3,K$2,معالجة!$B$4:$X$4),""))</f>
        <v/>
      </c>
      <c r="L43" s="51" t="str">
        <f>IF(OR(L$2="",COUNT(الرصد!$C43:$Y43)=0),"",IFERROR(SUMIF(معالجة!$B$3:$X$3,L$2,الرصد!$C43:$Y43)/SUMIF(معالجة!$B$3:$X$3,L$2,معالجة!$B$4:$X$4),""))</f>
        <v/>
      </c>
      <c r="M43" s="51" t="str">
        <f>IF(OR(M$2="",COUNT(الرصد!$C43:$Y43)=0),"",IFERROR(SUMIF(معالجة!$B$3:$X$3,M$2,الرصد!$C43:$Y43)/SUMIF(معالجة!$B$3:$X$3,M$2,معالجة!$B$4:$X$4),""))</f>
        <v/>
      </c>
      <c r="N43" s="51" t="str">
        <f>IF(OR(N$2="",COUNT(الرصد!$C43:$Y43)=0),"",IFERROR(SUMIF(معالجة!$B$3:$X$3,N$2,الرصد!$C43:$Y43)/SUMIF(معالجة!$B$3:$X$3,N$2,معالجة!$B$4:$X$4),""))</f>
        <v/>
      </c>
      <c r="O43" s="51" t="str">
        <f>IF(OR(O$2="",COUNT(الرصد!$C43:$Y43)=0),"",IFERROR(SUMIF(معالجة!$B$3:$X$3,O$2,الرصد!$C43:$Y43)/SUMIF(معالجة!$B$3:$X$3,O$2,معالجة!$B$4:$X$4),""))</f>
        <v/>
      </c>
      <c r="P43" s="51" t="str">
        <f>IF(OR(P$2="",COUNT(الرصد!$C43:$Y43)=0),"",IFERROR(SUMIF(معالجة!$B$3:$X$3,P$2,الرصد!$C43:$Y43)/SUMIF(معالجة!$B$3:$X$3,P$2,معالجة!$B$4:$X$4),""))</f>
        <v/>
      </c>
      <c r="Q43" s="51" t="str">
        <f>IF(OR(Q$2="",COUNT(الرصد!$C43:$Y43)=0),"",IFERROR(SUMIF(معالجة!$B$3:$X$3,Q$2,الرصد!$C43:$Y43)/SUMIF(معالجة!$B$3:$X$3,Q$2,معالجة!$B$4:$X$4),""))</f>
        <v/>
      </c>
      <c r="R43" s="51" t="str">
        <f>IF(OR(R$2="",COUNT(الرصد!$C43:$Y43)=0),"",IFERROR(SUMIF(معالجة!$B$3:$X$3,R$2,الرصد!$C43:$Y43)/SUMIF(معالجة!$B$3:$X$3,R$2,معالجة!$B$4:$X$4),""))</f>
        <v/>
      </c>
      <c r="S43" s="51" t="str">
        <f>IF(OR(S$2="",COUNT(الرصد!$C43:$Y43)=0),"",IFERROR(SUMIF(معالجة!$B$3:$X$3,S$2,الرصد!$C43:$Y43)/SUMIF(معالجة!$B$3:$X$3,S$2,معالجة!$B$4:$X$4),""))</f>
        <v/>
      </c>
      <c r="T43" s="51" t="str">
        <f>IF(OR(T$2="",COUNT(الرصد!$C43:$Y43)=0),"",IFERROR(SUMIF(معالجة!$B$3:$X$3,T$2,الرصد!$C43:$Y43)/SUMIF(معالجة!$B$3:$X$3,T$2,معالجة!$B$4:$X$4),""))</f>
        <v/>
      </c>
      <c r="U43" s="51" t="str">
        <f>IF(OR(U$2="",COUNT(الرصد!$C43:$Y43)=0),"",IFERROR(SUMIF(معالجة!$B$3:$X$3,U$2,الرصد!$C43:$Y43)/SUMIF(معالجة!$B$3:$X$3,U$2,معالجة!$B$4:$X$4),""))</f>
        <v/>
      </c>
      <c r="V43" s="51" t="str">
        <f>IF(OR(V$2="",COUNT(الرصد!$C43:$Y43)=0),"",IFERROR(SUMIF(معالجة!$B$3:$X$3,V$2,الرصد!$C43:$Y43)/SUMIF(معالجة!$B$3:$X$3,V$2,معالجة!$B$4:$X$4),""))</f>
        <v/>
      </c>
      <c r="W43" s="51" t="str">
        <f>IFERROR(C43/المهارات!$G$27,"")</f>
        <v/>
      </c>
    </row>
    <row r="44" spans="1:23" ht="14.25" customHeight="1">
      <c r="A44" s="46" t="s">
        <v>113</v>
      </c>
      <c r="B44" s="46" t="s">
        <v>27</v>
      </c>
      <c r="C44" s="52" t="str">
        <f>IF(COUNT(الرصد!C44:Y44)=0,"",SUM(الرصد!C44:Y44))</f>
        <v/>
      </c>
      <c r="D44" s="51" t="str">
        <f>IF(OR(D$2="",COUNT(الرصد!$C44:$Y44)=0),"",IFERROR(SUMIF(معالجة!$B$3:$X$3,D$2,الرصد!$C44:$Y44)/SUMIF(معالجة!$B$3:$X$3,D$2,معالجة!$B$4:$X$4),""))</f>
        <v/>
      </c>
      <c r="E44" s="51" t="str">
        <f>IF(OR(E$2="",COUNT(الرصد!$C44:$Y44)=0),"",IFERROR(SUMIF(معالجة!$B$3:$X$3,E$2,الرصد!$C44:$Y44)/SUMIF(معالجة!$B$3:$X$3,E$2,معالجة!$B$4:$X$4),""))</f>
        <v/>
      </c>
      <c r="F44" s="51" t="str">
        <f>IF(OR(F$2="",COUNT(الرصد!$C44:$Y44)=0),"",IFERROR(SUMIF(معالجة!$B$3:$X$3,F$2,الرصد!$C44:$Y44)/SUMIF(معالجة!$B$3:$X$3,F$2,معالجة!$B$4:$X$4),""))</f>
        <v/>
      </c>
      <c r="G44" s="51" t="str">
        <f>IF(OR(G$2="",COUNT(الرصد!$C44:$Y44)=0),"",IFERROR(SUMIF(معالجة!$B$3:$X$3,G$2,الرصد!$C44:$Y44)/SUMIF(معالجة!$B$3:$X$3,G$2,معالجة!$B$4:$X$4),""))</f>
        <v/>
      </c>
      <c r="H44" s="51" t="str">
        <f>IF(OR(H$2="",COUNT(الرصد!$C44:$Y44)=0),"",IFERROR(SUMIF(معالجة!$B$3:$X$3,H$2,الرصد!$C44:$Y44)/SUMIF(معالجة!$B$3:$X$3,H$2,معالجة!$B$4:$X$4),""))</f>
        <v/>
      </c>
      <c r="I44" s="51" t="str">
        <f>IF(OR(I$2="",COUNT(الرصد!$C44:$Y44)=0),"",IFERROR(SUMIF(معالجة!$B$3:$X$3,I$2,الرصد!$C44:$Y44)/SUMIF(معالجة!$B$3:$X$3,I$2,معالجة!$B$4:$X$4),""))</f>
        <v/>
      </c>
      <c r="J44" s="51" t="str">
        <f>IF(OR(J$2="",COUNT(الرصد!$C44:$Y44)=0),"",IFERROR(SUMIF(معالجة!$B$3:$X$3,J$2,الرصد!$C44:$Y44)/SUMIF(معالجة!$B$3:$X$3,J$2,معالجة!$B$4:$X$4),""))</f>
        <v/>
      </c>
      <c r="K44" s="51" t="str">
        <f>IF(OR(K$2="",COUNT(الرصد!$C44:$Y44)=0),"",IFERROR(SUMIF(معالجة!$B$3:$X$3,K$2,الرصد!$C44:$Y44)/SUMIF(معالجة!$B$3:$X$3,K$2,معالجة!$B$4:$X$4),""))</f>
        <v/>
      </c>
      <c r="L44" s="51" t="str">
        <f>IF(OR(L$2="",COUNT(الرصد!$C44:$Y44)=0),"",IFERROR(SUMIF(معالجة!$B$3:$X$3,L$2,الرصد!$C44:$Y44)/SUMIF(معالجة!$B$3:$X$3,L$2,معالجة!$B$4:$X$4),""))</f>
        <v/>
      </c>
      <c r="M44" s="51" t="str">
        <f>IF(OR(M$2="",COUNT(الرصد!$C44:$Y44)=0),"",IFERROR(SUMIF(معالجة!$B$3:$X$3,M$2,الرصد!$C44:$Y44)/SUMIF(معالجة!$B$3:$X$3,M$2,معالجة!$B$4:$X$4),""))</f>
        <v/>
      </c>
      <c r="N44" s="51" t="str">
        <f>IF(OR(N$2="",COUNT(الرصد!$C44:$Y44)=0),"",IFERROR(SUMIF(معالجة!$B$3:$X$3,N$2,الرصد!$C44:$Y44)/SUMIF(معالجة!$B$3:$X$3,N$2,معالجة!$B$4:$X$4),""))</f>
        <v/>
      </c>
      <c r="O44" s="51" t="str">
        <f>IF(OR(O$2="",COUNT(الرصد!$C44:$Y44)=0),"",IFERROR(SUMIF(معالجة!$B$3:$X$3,O$2,الرصد!$C44:$Y44)/SUMIF(معالجة!$B$3:$X$3,O$2,معالجة!$B$4:$X$4),""))</f>
        <v/>
      </c>
      <c r="P44" s="51" t="str">
        <f>IF(OR(P$2="",COUNT(الرصد!$C44:$Y44)=0),"",IFERROR(SUMIF(معالجة!$B$3:$X$3,P$2,الرصد!$C44:$Y44)/SUMIF(معالجة!$B$3:$X$3,P$2,معالجة!$B$4:$X$4),""))</f>
        <v/>
      </c>
      <c r="Q44" s="51" t="str">
        <f>IF(OR(Q$2="",COUNT(الرصد!$C44:$Y44)=0),"",IFERROR(SUMIF(معالجة!$B$3:$X$3,Q$2,الرصد!$C44:$Y44)/SUMIF(معالجة!$B$3:$X$3,Q$2,معالجة!$B$4:$X$4),""))</f>
        <v/>
      </c>
      <c r="R44" s="51" t="str">
        <f>IF(OR(R$2="",COUNT(الرصد!$C44:$Y44)=0),"",IFERROR(SUMIF(معالجة!$B$3:$X$3,R$2,الرصد!$C44:$Y44)/SUMIF(معالجة!$B$3:$X$3,R$2,معالجة!$B$4:$X$4),""))</f>
        <v/>
      </c>
      <c r="S44" s="51" t="str">
        <f>IF(OR(S$2="",COUNT(الرصد!$C44:$Y44)=0),"",IFERROR(SUMIF(معالجة!$B$3:$X$3,S$2,الرصد!$C44:$Y44)/SUMIF(معالجة!$B$3:$X$3,S$2,معالجة!$B$4:$X$4),""))</f>
        <v/>
      </c>
      <c r="T44" s="51" t="str">
        <f>IF(OR(T$2="",COUNT(الرصد!$C44:$Y44)=0),"",IFERROR(SUMIF(معالجة!$B$3:$X$3,T$2,الرصد!$C44:$Y44)/SUMIF(معالجة!$B$3:$X$3,T$2,معالجة!$B$4:$X$4),""))</f>
        <v/>
      </c>
      <c r="U44" s="51" t="str">
        <f>IF(OR(U$2="",COUNT(الرصد!$C44:$Y44)=0),"",IFERROR(SUMIF(معالجة!$B$3:$X$3,U$2,الرصد!$C44:$Y44)/SUMIF(معالجة!$B$3:$X$3,U$2,معالجة!$B$4:$X$4),""))</f>
        <v/>
      </c>
      <c r="V44" s="51" t="str">
        <f>IF(OR(V$2="",COUNT(الرصد!$C44:$Y44)=0),"",IFERROR(SUMIF(معالجة!$B$3:$X$3,V$2,الرصد!$C44:$Y44)/SUMIF(معالجة!$B$3:$X$3,V$2,معالجة!$B$4:$X$4),""))</f>
        <v/>
      </c>
      <c r="W44" s="51" t="str">
        <f>IFERROR(C44/المهارات!$G$27,"")</f>
        <v/>
      </c>
    </row>
    <row r="45" spans="1:23" ht="14.25" customHeight="1">
      <c r="A45" s="42" t="s">
        <v>114</v>
      </c>
      <c r="B45" s="42" t="s">
        <v>27</v>
      </c>
      <c r="C45" s="50" t="str">
        <f>IF(COUNT(الرصد!C45:Y45)=0,"",SUM(الرصد!C45:Y45))</f>
        <v/>
      </c>
      <c r="D45" s="51" t="str">
        <f>IF(OR(D$2="",COUNT(الرصد!$C45:$Y45)=0),"",IFERROR(SUMIF(معالجة!$B$3:$X$3,D$2,الرصد!$C45:$Y45)/SUMIF(معالجة!$B$3:$X$3,D$2,معالجة!$B$4:$X$4),""))</f>
        <v/>
      </c>
      <c r="E45" s="51" t="str">
        <f>IF(OR(E$2="",COUNT(الرصد!$C45:$Y45)=0),"",IFERROR(SUMIF(معالجة!$B$3:$X$3,E$2,الرصد!$C45:$Y45)/SUMIF(معالجة!$B$3:$X$3,E$2,معالجة!$B$4:$X$4),""))</f>
        <v/>
      </c>
      <c r="F45" s="51" t="str">
        <f>IF(OR(F$2="",COUNT(الرصد!$C45:$Y45)=0),"",IFERROR(SUMIF(معالجة!$B$3:$X$3,F$2,الرصد!$C45:$Y45)/SUMIF(معالجة!$B$3:$X$3,F$2,معالجة!$B$4:$X$4),""))</f>
        <v/>
      </c>
      <c r="G45" s="51" t="str">
        <f>IF(OR(G$2="",COUNT(الرصد!$C45:$Y45)=0),"",IFERROR(SUMIF(معالجة!$B$3:$X$3,G$2,الرصد!$C45:$Y45)/SUMIF(معالجة!$B$3:$X$3,G$2,معالجة!$B$4:$X$4),""))</f>
        <v/>
      </c>
      <c r="H45" s="51" t="str">
        <f>IF(OR(H$2="",COUNT(الرصد!$C45:$Y45)=0),"",IFERROR(SUMIF(معالجة!$B$3:$X$3,H$2,الرصد!$C45:$Y45)/SUMIF(معالجة!$B$3:$X$3,H$2,معالجة!$B$4:$X$4),""))</f>
        <v/>
      </c>
      <c r="I45" s="51" t="str">
        <f>IF(OR(I$2="",COUNT(الرصد!$C45:$Y45)=0),"",IFERROR(SUMIF(معالجة!$B$3:$X$3,I$2,الرصد!$C45:$Y45)/SUMIF(معالجة!$B$3:$X$3,I$2,معالجة!$B$4:$X$4),""))</f>
        <v/>
      </c>
      <c r="J45" s="51" t="str">
        <f>IF(OR(J$2="",COUNT(الرصد!$C45:$Y45)=0),"",IFERROR(SUMIF(معالجة!$B$3:$X$3,J$2,الرصد!$C45:$Y45)/SUMIF(معالجة!$B$3:$X$3,J$2,معالجة!$B$4:$X$4),""))</f>
        <v/>
      </c>
      <c r="K45" s="51" t="str">
        <f>IF(OR(K$2="",COUNT(الرصد!$C45:$Y45)=0),"",IFERROR(SUMIF(معالجة!$B$3:$X$3,K$2,الرصد!$C45:$Y45)/SUMIF(معالجة!$B$3:$X$3,K$2,معالجة!$B$4:$X$4),""))</f>
        <v/>
      </c>
      <c r="L45" s="51" t="str">
        <f>IF(OR(L$2="",COUNT(الرصد!$C45:$Y45)=0),"",IFERROR(SUMIF(معالجة!$B$3:$X$3,L$2,الرصد!$C45:$Y45)/SUMIF(معالجة!$B$3:$X$3,L$2,معالجة!$B$4:$X$4),""))</f>
        <v/>
      </c>
      <c r="M45" s="51" t="str">
        <f>IF(OR(M$2="",COUNT(الرصد!$C45:$Y45)=0),"",IFERROR(SUMIF(معالجة!$B$3:$X$3,M$2,الرصد!$C45:$Y45)/SUMIF(معالجة!$B$3:$X$3,M$2,معالجة!$B$4:$X$4),""))</f>
        <v/>
      </c>
      <c r="N45" s="51" t="str">
        <f>IF(OR(N$2="",COUNT(الرصد!$C45:$Y45)=0),"",IFERROR(SUMIF(معالجة!$B$3:$X$3,N$2,الرصد!$C45:$Y45)/SUMIF(معالجة!$B$3:$X$3,N$2,معالجة!$B$4:$X$4),""))</f>
        <v/>
      </c>
      <c r="O45" s="51" t="str">
        <f>IF(OR(O$2="",COUNT(الرصد!$C45:$Y45)=0),"",IFERROR(SUMIF(معالجة!$B$3:$X$3,O$2,الرصد!$C45:$Y45)/SUMIF(معالجة!$B$3:$X$3,O$2,معالجة!$B$4:$X$4),""))</f>
        <v/>
      </c>
      <c r="P45" s="51" t="str">
        <f>IF(OR(P$2="",COUNT(الرصد!$C45:$Y45)=0),"",IFERROR(SUMIF(معالجة!$B$3:$X$3,P$2,الرصد!$C45:$Y45)/SUMIF(معالجة!$B$3:$X$3,P$2,معالجة!$B$4:$X$4),""))</f>
        <v/>
      </c>
      <c r="Q45" s="51" t="str">
        <f>IF(OR(Q$2="",COUNT(الرصد!$C45:$Y45)=0),"",IFERROR(SUMIF(معالجة!$B$3:$X$3,Q$2,الرصد!$C45:$Y45)/SUMIF(معالجة!$B$3:$X$3,Q$2,معالجة!$B$4:$X$4),""))</f>
        <v/>
      </c>
      <c r="R45" s="51" t="str">
        <f>IF(OR(R$2="",COUNT(الرصد!$C45:$Y45)=0),"",IFERROR(SUMIF(معالجة!$B$3:$X$3,R$2,الرصد!$C45:$Y45)/SUMIF(معالجة!$B$3:$X$3,R$2,معالجة!$B$4:$X$4),""))</f>
        <v/>
      </c>
      <c r="S45" s="51" t="str">
        <f>IF(OR(S$2="",COUNT(الرصد!$C45:$Y45)=0),"",IFERROR(SUMIF(معالجة!$B$3:$X$3,S$2,الرصد!$C45:$Y45)/SUMIF(معالجة!$B$3:$X$3,S$2,معالجة!$B$4:$X$4),""))</f>
        <v/>
      </c>
      <c r="T45" s="51" t="str">
        <f>IF(OR(T$2="",COUNT(الرصد!$C45:$Y45)=0),"",IFERROR(SUMIF(معالجة!$B$3:$X$3,T$2,الرصد!$C45:$Y45)/SUMIF(معالجة!$B$3:$X$3,T$2,معالجة!$B$4:$X$4),""))</f>
        <v/>
      </c>
      <c r="U45" s="51" t="str">
        <f>IF(OR(U$2="",COUNT(الرصد!$C45:$Y45)=0),"",IFERROR(SUMIF(معالجة!$B$3:$X$3,U$2,الرصد!$C45:$Y45)/SUMIF(معالجة!$B$3:$X$3,U$2,معالجة!$B$4:$X$4),""))</f>
        <v/>
      </c>
      <c r="V45" s="51" t="str">
        <f>IF(OR(V$2="",COUNT(الرصد!$C45:$Y45)=0),"",IFERROR(SUMIF(معالجة!$B$3:$X$3,V$2,الرصد!$C45:$Y45)/SUMIF(معالجة!$B$3:$X$3,V$2,معالجة!$B$4:$X$4),""))</f>
        <v/>
      </c>
      <c r="W45" s="51" t="str">
        <f>IFERROR(C45/المهارات!$G$27,"")</f>
        <v/>
      </c>
    </row>
    <row r="46" spans="1:23" ht="14.25" customHeight="1">
      <c r="A46" s="46" t="s">
        <v>115</v>
      </c>
      <c r="B46" s="46" t="s">
        <v>27</v>
      </c>
      <c r="C46" s="52" t="str">
        <f>IF(COUNT(الرصد!C46:Y46)=0,"",SUM(الرصد!C46:Y46))</f>
        <v/>
      </c>
      <c r="D46" s="51" t="str">
        <f>IF(OR(D$2="",COUNT(الرصد!$C46:$Y46)=0),"",IFERROR(SUMIF(معالجة!$B$3:$X$3,D$2,الرصد!$C46:$Y46)/SUMIF(معالجة!$B$3:$X$3,D$2,معالجة!$B$4:$X$4),""))</f>
        <v/>
      </c>
      <c r="E46" s="51" t="str">
        <f>IF(OR(E$2="",COUNT(الرصد!$C46:$Y46)=0),"",IFERROR(SUMIF(معالجة!$B$3:$X$3,E$2,الرصد!$C46:$Y46)/SUMIF(معالجة!$B$3:$X$3,E$2,معالجة!$B$4:$X$4),""))</f>
        <v/>
      </c>
      <c r="F46" s="51" t="str">
        <f>IF(OR(F$2="",COUNT(الرصد!$C46:$Y46)=0),"",IFERROR(SUMIF(معالجة!$B$3:$X$3,F$2,الرصد!$C46:$Y46)/SUMIF(معالجة!$B$3:$X$3,F$2,معالجة!$B$4:$X$4),""))</f>
        <v/>
      </c>
      <c r="G46" s="51" t="str">
        <f>IF(OR(G$2="",COUNT(الرصد!$C46:$Y46)=0),"",IFERROR(SUMIF(معالجة!$B$3:$X$3,G$2,الرصد!$C46:$Y46)/SUMIF(معالجة!$B$3:$X$3,G$2,معالجة!$B$4:$X$4),""))</f>
        <v/>
      </c>
      <c r="H46" s="51" t="str">
        <f>IF(OR(H$2="",COUNT(الرصد!$C46:$Y46)=0),"",IFERROR(SUMIF(معالجة!$B$3:$X$3,H$2,الرصد!$C46:$Y46)/SUMIF(معالجة!$B$3:$X$3,H$2,معالجة!$B$4:$X$4),""))</f>
        <v/>
      </c>
      <c r="I46" s="51" t="str">
        <f>IF(OR(I$2="",COUNT(الرصد!$C46:$Y46)=0),"",IFERROR(SUMIF(معالجة!$B$3:$X$3,I$2,الرصد!$C46:$Y46)/SUMIF(معالجة!$B$3:$X$3,I$2,معالجة!$B$4:$X$4),""))</f>
        <v/>
      </c>
      <c r="J46" s="51" t="str">
        <f>IF(OR(J$2="",COUNT(الرصد!$C46:$Y46)=0),"",IFERROR(SUMIF(معالجة!$B$3:$X$3,J$2,الرصد!$C46:$Y46)/SUMIF(معالجة!$B$3:$X$3,J$2,معالجة!$B$4:$X$4),""))</f>
        <v/>
      </c>
      <c r="K46" s="51" t="str">
        <f>IF(OR(K$2="",COUNT(الرصد!$C46:$Y46)=0),"",IFERROR(SUMIF(معالجة!$B$3:$X$3,K$2,الرصد!$C46:$Y46)/SUMIF(معالجة!$B$3:$X$3,K$2,معالجة!$B$4:$X$4),""))</f>
        <v/>
      </c>
      <c r="L46" s="51" t="str">
        <f>IF(OR(L$2="",COUNT(الرصد!$C46:$Y46)=0),"",IFERROR(SUMIF(معالجة!$B$3:$X$3,L$2,الرصد!$C46:$Y46)/SUMIF(معالجة!$B$3:$X$3,L$2,معالجة!$B$4:$X$4),""))</f>
        <v/>
      </c>
      <c r="M46" s="51" t="str">
        <f>IF(OR(M$2="",COUNT(الرصد!$C46:$Y46)=0),"",IFERROR(SUMIF(معالجة!$B$3:$X$3,M$2,الرصد!$C46:$Y46)/SUMIF(معالجة!$B$3:$X$3,M$2,معالجة!$B$4:$X$4),""))</f>
        <v/>
      </c>
      <c r="N46" s="51" t="str">
        <f>IF(OR(N$2="",COUNT(الرصد!$C46:$Y46)=0),"",IFERROR(SUMIF(معالجة!$B$3:$X$3,N$2,الرصد!$C46:$Y46)/SUMIF(معالجة!$B$3:$X$3,N$2,معالجة!$B$4:$X$4),""))</f>
        <v/>
      </c>
      <c r="O46" s="51" t="str">
        <f>IF(OR(O$2="",COUNT(الرصد!$C46:$Y46)=0),"",IFERROR(SUMIF(معالجة!$B$3:$X$3,O$2,الرصد!$C46:$Y46)/SUMIF(معالجة!$B$3:$X$3,O$2,معالجة!$B$4:$X$4),""))</f>
        <v/>
      </c>
      <c r="P46" s="51" t="str">
        <f>IF(OR(P$2="",COUNT(الرصد!$C46:$Y46)=0),"",IFERROR(SUMIF(معالجة!$B$3:$X$3,P$2,الرصد!$C46:$Y46)/SUMIF(معالجة!$B$3:$X$3,P$2,معالجة!$B$4:$X$4),""))</f>
        <v/>
      </c>
      <c r="Q46" s="51" t="str">
        <f>IF(OR(Q$2="",COUNT(الرصد!$C46:$Y46)=0),"",IFERROR(SUMIF(معالجة!$B$3:$X$3,Q$2,الرصد!$C46:$Y46)/SUMIF(معالجة!$B$3:$X$3,Q$2,معالجة!$B$4:$X$4),""))</f>
        <v/>
      </c>
      <c r="R46" s="51" t="str">
        <f>IF(OR(R$2="",COUNT(الرصد!$C46:$Y46)=0),"",IFERROR(SUMIF(معالجة!$B$3:$X$3,R$2,الرصد!$C46:$Y46)/SUMIF(معالجة!$B$3:$X$3,R$2,معالجة!$B$4:$X$4),""))</f>
        <v/>
      </c>
      <c r="S46" s="51" t="str">
        <f>IF(OR(S$2="",COUNT(الرصد!$C46:$Y46)=0),"",IFERROR(SUMIF(معالجة!$B$3:$X$3,S$2,الرصد!$C46:$Y46)/SUMIF(معالجة!$B$3:$X$3,S$2,معالجة!$B$4:$X$4),""))</f>
        <v/>
      </c>
      <c r="T46" s="51" t="str">
        <f>IF(OR(T$2="",COUNT(الرصد!$C46:$Y46)=0),"",IFERROR(SUMIF(معالجة!$B$3:$X$3,T$2,الرصد!$C46:$Y46)/SUMIF(معالجة!$B$3:$X$3,T$2,معالجة!$B$4:$X$4),""))</f>
        <v/>
      </c>
      <c r="U46" s="51" t="str">
        <f>IF(OR(U$2="",COUNT(الرصد!$C46:$Y46)=0),"",IFERROR(SUMIF(معالجة!$B$3:$X$3,U$2,الرصد!$C46:$Y46)/SUMIF(معالجة!$B$3:$X$3,U$2,معالجة!$B$4:$X$4),""))</f>
        <v/>
      </c>
      <c r="V46" s="51" t="str">
        <f>IF(OR(V$2="",COUNT(الرصد!$C46:$Y46)=0),"",IFERROR(SUMIF(معالجة!$B$3:$X$3,V$2,الرصد!$C46:$Y46)/SUMIF(معالجة!$B$3:$X$3,V$2,معالجة!$B$4:$X$4),""))</f>
        <v/>
      </c>
      <c r="W46" s="51" t="str">
        <f>IFERROR(C46/المهارات!$G$27,"")</f>
        <v/>
      </c>
    </row>
    <row r="47" spans="1:23" ht="14.25" customHeight="1">
      <c r="A47" s="42" t="s">
        <v>116</v>
      </c>
      <c r="B47" s="42" t="s">
        <v>19</v>
      </c>
      <c r="C47" s="50" t="str">
        <f>IF(COUNT(الرصد!C47:Y47)=0,"",SUM(الرصد!C47:Y47))</f>
        <v/>
      </c>
      <c r="D47" s="51" t="str">
        <f>IF(OR(D$2="",COUNT(الرصد!$C47:$Y47)=0),"",IFERROR(SUMIF(معالجة!$B$3:$X$3,D$2,الرصد!$C47:$Y47)/SUMIF(معالجة!$B$3:$X$3,D$2,معالجة!$B$4:$X$4),""))</f>
        <v/>
      </c>
      <c r="E47" s="51" t="str">
        <f>IF(OR(E$2="",COUNT(الرصد!$C47:$Y47)=0),"",IFERROR(SUMIF(معالجة!$B$3:$X$3,E$2,الرصد!$C47:$Y47)/SUMIF(معالجة!$B$3:$X$3,E$2,معالجة!$B$4:$X$4),""))</f>
        <v/>
      </c>
      <c r="F47" s="51" t="str">
        <f>IF(OR(F$2="",COUNT(الرصد!$C47:$Y47)=0),"",IFERROR(SUMIF(معالجة!$B$3:$X$3,F$2,الرصد!$C47:$Y47)/SUMIF(معالجة!$B$3:$X$3,F$2,معالجة!$B$4:$X$4),""))</f>
        <v/>
      </c>
      <c r="G47" s="51" t="str">
        <f>IF(OR(G$2="",COUNT(الرصد!$C47:$Y47)=0),"",IFERROR(SUMIF(معالجة!$B$3:$X$3,G$2,الرصد!$C47:$Y47)/SUMIF(معالجة!$B$3:$X$3,G$2,معالجة!$B$4:$X$4),""))</f>
        <v/>
      </c>
      <c r="H47" s="51" t="str">
        <f>IF(OR(H$2="",COUNT(الرصد!$C47:$Y47)=0),"",IFERROR(SUMIF(معالجة!$B$3:$X$3,H$2,الرصد!$C47:$Y47)/SUMIF(معالجة!$B$3:$X$3,H$2,معالجة!$B$4:$X$4),""))</f>
        <v/>
      </c>
      <c r="I47" s="51" t="str">
        <f>IF(OR(I$2="",COUNT(الرصد!$C47:$Y47)=0),"",IFERROR(SUMIF(معالجة!$B$3:$X$3,I$2,الرصد!$C47:$Y47)/SUMIF(معالجة!$B$3:$X$3,I$2,معالجة!$B$4:$X$4),""))</f>
        <v/>
      </c>
      <c r="J47" s="51" t="str">
        <f>IF(OR(J$2="",COUNT(الرصد!$C47:$Y47)=0),"",IFERROR(SUMIF(معالجة!$B$3:$X$3,J$2,الرصد!$C47:$Y47)/SUMIF(معالجة!$B$3:$X$3,J$2,معالجة!$B$4:$X$4),""))</f>
        <v/>
      </c>
      <c r="K47" s="51" t="str">
        <f>IF(OR(K$2="",COUNT(الرصد!$C47:$Y47)=0),"",IFERROR(SUMIF(معالجة!$B$3:$X$3,K$2,الرصد!$C47:$Y47)/SUMIF(معالجة!$B$3:$X$3,K$2,معالجة!$B$4:$X$4),""))</f>
        <v/>
      </c>
      <c r="L47" s="51" t="str">
        <f>IF(OR(L$2="",COUNT(الرصد!$C47:$Y47)=0),"",IFERROR(SUMIF(معالجة!$B$3:$X$3,L$2,الرصد!$C47:$Y47)/SUMIF(معالجة!$B$3:$X$3,L$2,معالجة!$B$4:$X$4),""))</f>
        <v/>
      </c>
      <c r="M47" s="51" t="str">
        <f>IF(OR(M$2="",COUNT(الرصد!$C47:$Y47)=0),"",IFERROR(SUMIF(معالجة!$B$3:$X$3,M$2,الرصد!$C47:$Y47)/SUMIF(معالجة!$B$3:$X$3,M$2,معالجة!$B$4:$X$4),""))</f>
        <v/>
      </c>
      <c r="N47" s="51" t="str">
        <f>IF(OR(N$2="",COUNT(الرصد!$C47:$Y47)=0),"",IFERROR(SUMIF(معالجة!$B$3:$X$3,N$2,الرصد!$C47:$Y47)/SUMIF(معالجة!$B$3:$X$3,N$2,معالجة!$B$4:$X$4),""))</f>
        <v/>
      </c>
      <c r="O47" s="51" t="str">
        <f>IF(OR(O$2="",COUNT(الرصد!$C47:$Y47)=0),"",IFERROR(SUMIF(معالجة!$B$3:$X$3,O$2,الرصد!$C47:$Y47)/SUMIF(معالجة!$B$3:$X$3,O$2,معالجة!$B$4:$X$4),""))</f>
        <v/>
      </c>
      <c r="P47" s="51" t="str">
        <f>IF(OR(P$2="",COUNT(الرصد!$C47:$Y47)=0),"",IFERROR(SUMIF(معالجة!$B$3:$X$3,P$2,الرصد!$C47:$Y47)/SUMIF(معالجة!$B$3:$X$3,P$2,معالجة!$B$4:$X$4),""))</f>
        <v/>
      </c>
      <c r="Q47" s="51" t="str">
        <f>IF(OR(Q$2="",COUNT(الرصد!$C47:$Y47)=0),"",IFERROR(SUMIF(معالجة!$B$3:$X$3,Q$2,الرصد!$C47:$Y47)/SUMIF(معالجة!$B$3:$X$3,Q$2,معالجة!$B$4:$X$4),""))</f>
        <v/>
      </c>
      <c r="R47" s="51" t="str">
        <f>IF(OR(R$2="",COUNT(الرصد!$C47:$Y47)=0),"",IFERROR(SUMIF(معالجة!$B$3:$X$3,R$2,الرصد!$C47:$Y47)/SUMIF(معالجة!$B$3:$X$3,R$2,معالجة!$B$4:$X$4),""))</f>
        <v/>
      </c>
      <c r="S47" s="51" t="str">
        <f>IF(OR(S$2="",COUNT(الرصد!$C47:$Y47)=0),"",IFERROR(SUMIF(معالجة!$B$3:$X$3,S$2,الرصد!$C47:$Y47)/SUMIF(معالجة!$B$3:$X$3,S$2,معالجة!$B$4:$X$4),""))</f>
        <v/>
      </c>
      <c r="T47" s="51" t="str">
        <f>IF(OR(T$2="",COUNT(الرصد!$C47:$Y47)=0),"",IFERROR(SUMIF(معالجة!$B$3:$X$3,T$2,الرصد!$C47:$Y47)/SUMIF(معالجة!$B$3:$X$3,T$2,معالجة!$B$4:$X$4),""))</f>
        <v/>
      </c>
      <c r="U47" s="51" t="str">
        <f>IF(OR(U$2="",COUNT(الرصد!$C47:$Y47)=0),"",IFERROR(SUMIF(معالجة!$B$3:$X$3,U$2,الرصد!$C47:$Y47)/SUMIF(معالجة!$B$3:$X$3,U$2,معالجة!$B$4:$X$4),""))</f>
        <v/>
      </c>
      <c r="V47" s="51" t="str">
        <f>IF(OR(V$2="",COUNT(الرصد!$C47:$Y47)=0),"",IFERROR(SUMIF(معالجة!$B$3:$X$3,V$2,الرصد!$C47:$Y47)/SUMIF(معالجة!$B$3:$X$3,V$2,معالجة!$B$4:$X$4),""))</f>
        <v/>
      </c>
      <c r="W47" s="51" t="str">
        <f>IFERROR(C47/المهارات!$G$27,"")</f>
        <v/>
      </c>
    </row>
    <row r="48" spans="1:23" ht="14.25" customHeight="1">
      <c r="A48" s="46" t="s">
        <v>117</v>
      </c>
      <c r="B48" s="46" t="s">
        <v>19</v>
      </c>
      <c r="C48" s="52" t="str">
        <f>IF(COUNT(الرصد!C48:Y48)=0,"",SUM(الرصد!C48:Y48))</f>
        <v/>
      </c>
      <c r="D48" s="51" t="str">
        <f>IF(OR(D$2="",COUNT(الرصد!$C48:$Y48)=0),"",IFERROR(SUMIF(معالجة!$B$3:$X$3,D$2,الرصد!$C48:$Y48)/SUMIF(معالجة!$B$3:$X$3,D$2,معالجة!$B$4:$X$4),""))</f>
        <v/>
      </c>
      <c r="E48" s="51" t="str">
        <f>IF(OR(E$2="",COUNT(الرصد!$C48:$Y48)=0),"",IFERROR(SUMIF(معالجة!$B$3:$X$3,E$2,الرصد!$C48:$Y48)/SUMIF(معالجة!$B$3:$X$3,E$2,معالجة!$B$4:$X$4),""))</f>
        <v/>
      </c>
      <c r="F48" s="51" t="str">
        <f>IF(OR(F$2="",COUNT(الرصد!$C48:$Y48)=0),"",IFERROR(SUMIF(معالجة!$B$3:$X$3,F$2,الرصد!$C48:$Y48)/SUMIF(معالجة!$B$3:$X$3,F$2,معالجة!$B$4:$X$4),""))</f>
        <v/>
      </c>
      <c r="G48" s="51" t="str">
        <f>IF(OR(G$2="",COUNT(الرصد!$C48:$Y48)=0),"",IFERROR(SUMIF(معالجة!$B$3:$X$3,G$2,الرصد!$C48:$Y48)/SUMIF(معالجة!$B$3:$X$3,G$2,معالجة!$B$4:$X$4),""))</f>
        <v/>
      </c>
      <c r="H48" s="51" t="str">
        <f>IF(OR(H$2="",COUNT(الرصد!$C48:$Y48)=0),"",IFERROR(SUMIF(معالجة!$B$3:$X$3,H$2,الرصد!$C48:$Y48)/SUMIF(معالجة!$B$3:$X$3,H$2,معالجة!$B$4:$X$4),""))</f>
        <v/>
      </c>
      <c r="I48" s="51" t="str">
        <f>IF(OR(I$2="",COUNT(الرصد!$C48:$Y48)=0),"",IFERROR(SUMIF(معالجة!$B$3:$X$3,I$2,الرصد!$C48:$Y48)/SUMIF(معالجة!$B$3:$X$3,I$2,معالجة!$B$4:$X$4),""))</f>
        <v/>
      </c>
      <c r="J48" s="51" t="str">
        <f>IF(OR(J$2="",COUNT(الرصد!$C48:$Y48)=0),"",IFERROR(SUMIF(معالجة!$B$3:$X$3,J$2,الرصد!$C48:$Y48)/SUMIF(معالجة!$B$3:$X$3,J$2,معالجة!$B$4:$X$4),""))</f>
        <v/>
      </c>
      <c r="K48" s="51" t="str">
        <f>IF(OR(K$2="",COUNT(الرصد!$C48:$Y48)=0),"",IFERROR(SUMIF(معالجة!$B$3:$X$3,K$2,الرصد!$C48:$Y48)/SUMIF(معالجة!$B$3:$X$3,K$2,معالجة!$B$4:$X$4),""))</f>
        <v/>
      </c>
      <c r="L48" s="51" t="str">
        <f>IF(OR(L$2="",COUNT(الرصد!$C48:$Y48)=0),"",IFERROR(SUMIF(معالجة!$B$3:$X$3,L$2,الرصد!$C48:$Y48)/SUMIF(معالجة!$B$3:$X$3,L$2,معالجة!$B$4:$X$4),""))</f>
        <v/>
      </c>
      <c r="M48" s="51" t="str">
        <f>IF(OR(M$2="",COUNT(الرصد!$C48:$Y48)=0),"",IFERROR(SUMIF(معالجة!$B$3:$X$3,M$2,الرصد!$C48:$Y48)/SUMIF(معالجة!$B$3:$X$3,M$2,معالجة!$B$4:$X$4),""))</f>
        <v/>
      </c>
      <c r="N48" s="51" t="str">
        <f>IF(OR(N$2="",COUNT(الرصد!$C48:$Y48)=0),"",IFERROR(SUMIF(معالجة!$B$3:$X$3,N$2,الرصد!$C48:$Y48)/SUMIF(معالجة!$B$3:$X$3,N$2,معالجة!$B$4:$X$4),""))</f>
        <v/>
      </c>
      <c r="O48" s="51" t="str">
        <f>IF(OR(O$2="",COUNT(الرصد!$C48:$Y48)=0),"",IFERROR(SUMIF(معالجة!$B$3:$X$3,O$2,الرصد!$C48:$Y48)/SUMIF(معالجة!$B$3:$X$3,O$2,معالجة!$B$4:$X$4),""))</f>
        <v/>
      </c>
      <c r="P48" s="51" t="str">
        <f>IF(OR(P$2="",COUNT(الرصد!$C48:$Y48)=0),"",IFERROR(SUMIF(معالجة!$B$3:$X$3,P$2,الرصد!$C48:$Y48)/SUMIF(معالجة!$B$3:$X$3,P$2,معالجة!$B$4:$X$4),""))</f>
        <v/>
      </c>
      <c r="Q48" s="51" t="str">
        <f>IF(OR(Q$2="",COUNT(الرصد!$C48:$Y48)=0),"",IFERROR(SUMIF(معالجة!$B$3:$X$3,Q$2,الرصد!$C48:$Y48)/SUMIF(معالجة!$B$3:$X$3,Q$2,معالجة!$B$4:$X$4),""))</f>
        <v/>
      </c>
      <c r="R48" s="51" t="str">
        <f>IF(OR(R$2="",COUNT(الرصد!$C48:$Y48)=0),"",IFERROR(SUMIF(معالجة!$B$3:$X$3,R$2,الرصد!$C48:$Y48)/SUMIF(معالجة!$B$3:$X$3,R$2,معالجة!$B$4:$X$4),""))</f>
        <v/>
      </c>
      <c r="S48" s="51" t="str">
        <f>IF(OR(S$2="",COUNT(الرصد!$C48:$Y48)=0),"",IFERROR(SUMIF(معالجة!$B$3:$X$3,S$2,الرصد!$C48:$Y48)/SUMIF(معالجة!$B$3:$X$3,S$2,معالجة!$B$4:$X$4),""))</f>
        <v/>
      </c>
      <c r="T48" s="51" t="str">
        <f>IF(OR(T$2="",COUNT(الرصد!$C48:$Y48)=0),"",IFERROR(SUMIF(معالجة!$B$3:$X$3,T$2,الرصد!$C48:$Y48)/SUMIF(معالجة!$B$3:$X$3,T$2,معالجة!$B$4:$X$4),""))</f>
        <v/>
      </c>
      <c r="U48" s="51" t="str">
        <f>IF(OR(U$2="",COUNT(الرصد!$C48:$Y48)=0),"",IFERROR(SUMIF(معالجة!$B$3:$X$3,U$2,الرصد!$C48:$Y48)/SUMIF(معالجة!$B$3:$X$3,U$2,معالجة!$B$4:$X$4),""))</f>
        <v/>
      </c>
      <c r="V48" s="51" t="str">
        <f>IF(OR(V$2="",COUNT(الرصد!$C48:$Y48)=0),"",IFERROR(SUMIF(معالجة!$B$3:$X$3,V$2,الرصد!$C48:$Y48)/SUMIF(معالجة!$B$3:$X$3,V$2,معالجة!$B$4:$X$4),""))</f>
        <v/>
      </c>
      <c r="W48" s="51" t="str">
        <f>IFERROR(C48/المهارات!$G$27,"")</f>
        <v/>
      </c>
    </row>
    <row r="49" spans="1:23" ht="14.25" customHeight="1">
      <c r="A49" s="42" t="s">
        <v>118</v>
      </c>
      <c r="B49" s="42" t="s">
        <v>19</v>
      </c>
      <c r="C49" s="50" t="str">
        <f>IF(COUNT(الرصد!C49:Y49)=0,"",SUM(الرصد!C49:Y49))</f>
        <v/>
      </c>
      <c r="D49" s="51" t="str">
        <f>IF(OR(D$2="",COUNT(الرصد!$C49:$Y49)=0),"",IFERROR(SUMIF(معالجة!$B$3:$X$3,D$2,الرصد!$C49:$Y49)/SUMIF(معالجة!$B$3:$X$3,D$2,معالجة!$B$4:$X$4),""))</f>
        <v/>
      </c>
      <c r="E49" s="51" t="str">
        <f>IF(OR(E$2="",COUNT(الرصد!$C49:$Y49)=0),"",IFERROR(SUMIF(معالجة!$B$3:$X$3,E$2,الرصد!$C49:$Y49)/SUMIF(معالجة!$B$3:$X$3,E$2,معالجة!$B$4:$X$4),""))</f>
        <v/>
      </c>
      <c r="F49" s="51" t="str">
        <f>IF(OR(F$2="",COUNT(الرصد!$C49:$Y49)=0),"",IFERROR(SUMIF(معالجة!$B$3:$X$3,F$2,الرصد!$C49:$Y49)/SUMIF(معالجة!$B$3:$X$3,F$2,معالجة!$B$4:$X$4),""))</f>
        <v/>
      </c>
      <c r="G49" s="51" t="str">
        <f>IF(OR(G$2="",COUNT(الرصد!$C49:$Y49)=0),"",IFERROR(SUMIF(معالجة!$B$3:$X$3,G$2,الرصد!$C49:$Y49)/SUMIF(معالجة!$B$3:$X$3,G$2,معالجة!$B$4:$X$4),""))</f>
        <v/>
      </c>
      <c r="H49" s="51" t="str">
        <f>IF(OR(H$2="",COUNT(الرصد!$C49:$Y49)=0),"",IFERROR(SUMIF(معالجة!$B$3:$X$3,H$2,الرصد!$C49:$Y49)/SUMIF(معالجة!$B$3:$X$3,H$2,معالجة!$B$4:$X$4),""))</f>
        <v/>
      </c>
      <c r="I49" s="51" t="str">
        <f>IF(OR(I$2="",COUNT(الرصد!$C49:$Y49)=0),"",IFERROR(SUMIF(معالجة!$B$3:$X$3,I$2,الرصد!$C49:$Y49)/SUMIF(معالجة!$B$3:$X$3,I$2,معالجة!$B$4:$X$4),""))</f>
        <v/>
      </c>
      <c r="J49" s="51" t="str">
        <f>IF(OR(J$2="",COUNT(الرصد!$C49:$Y49)=0),"",IFERROR(SUMIF(معالجة!$B$3:$X$3,J$2,الرصد!$C49:$Y49)/SUMIF(معالجة!$B$3:$X$3,J$2,معالجة!$B$4:$X$4),""))</f>
        <v/>
      </c>
      <c r="K49" s="51" t="str">
        <f>IF(OR(K$2="",COUNT(الرصد!$C49:$Y49)=0),"",IFERROR(SUMIF(معالجة!$B$3:$X$3,K$2,الرصد!$C49:$Y49)/SUMIF(معالجة!$B$3:$X$3,K$2,معالجة!$B$4:$X$4),""))</f>
        <v/>
      </c>
      <c r="L49" s="51" t="str">
        <f>IF(OR(L$2="",COUNT(الرصد!$C49:$Y49)=0),"",IFERROR(SUMIF(معالجة!$B$3:$X$3,L$2,الرصد!$C49:$Y49)/SUMIF(معالجة!$B$3:$X$3,L$2,معالجة!$B$4:$X$4),""))</f>
        <v/>
      </c>
      <c r="M49" s="51" t="str">
        <f>IF(OR(M$2="",COUNT(الرصد!$C49:$Y49)=0),"",IFERROR(SUMIF(معالجة!$B$3:$X$3,M$2,الرصد!$C49:$Y49)/SUMIF(معالجة!$B$3:$X$3,M$2,معالجة!$B$4:$X$4),""))</f>
        <v/>
      </c>
      <c r="N49" s="51" t="str">
        <f>IF(OR(N$2="",COUNT(الرصد!$C49:$Y49)=0),"",IFERROR(SUMIF(معالجة!$B$3:$X$3,N$2,الرصد!$C49:$Y49)/SUMIF(معالجة!$B$3:$X$3,N$2,معالجة!$B$4:$X$4),""))</f>
        <v/>
      </c>
      <c r="O49" s="51" t="str">
        <f>IF(OR(O$2="",COUNT(الرصد!$C49:$Y49)=0),"",IFERROR(SUMIF(معالجة!$B$3:$X$3,O$2,الرصد!$C49:$Y49)/SUMIF(معالجة!$B$3:$X$3,O$2,معالجة!$B$4:$X$4),""))</f>
        <v/>
      </c>
      <c r="P49" s="51" t="str">
        <f>IF(OR(P$2="",COUNT(الرصد!$C49:$Y49)=0),"",IFERROR(SUMIF(معالجة!$B$3:$X$3,P$2,الرصد!$C49:$Y49)/SUMIF(معالجة!$B$3:$X$3,P$2,معالجة!$B$4:$X$4),""))</f>
        <v/>
      </c>
      <c r="Q49" s="51" t="str">
        <f>IF(OR(Q$2="",COUNT(الرصد!$C49:$Y49)=0),"",IFERROR(SUMIF(معالجة!$B$3:$X$3,Q$2,الرصد!$C49:$Y49)/SUMIF(معالجة!$B$3:$X$3,Q$2,معالجة!$B$4:$X$4),""))</f>
        <v/>
      </c>
      <c r="R49" s="51" t="str">
        <f>IF(OR(R$2="",COUNT(الرصد!$C49:$Y49)=0),"",IFERROR(SUMIF(معالجة!$B$3:$X$3,R$2,الرصد!$C49:$Y49)/SUMIF(معالجة!$B$3:$X$3,R$2,معالجة!$B$4:$X$4),""))</f>
        <v/>
      </c>
      <c r="S49" s="51" t="str">
        <f>IF(OR(S$2="",COUNT(الرصد!$C49:$Y49)=0),"",IFERROR(SUMIF(معالجة!$B$3:$X$3,S$2,الرصد!$C49:$Y49)/SUMIF(معالجة!$B$3:$X$3,S$2,معالجة!$B$4:$X$4),""))</f>
        <v/>
      </c>
      <c r="T49" s="51" t="str">
        <f>IF(OR(T$2="",COUNT(الرصد!$C49:$Y49)=0),"",IFERROR(SUMIF(معالجة!$B$3:$X$3,T$2,الرصد!$C49:$Y49)/SUMIF(معالجة!$B$3:$X$3,T$2,معالجة!$B$4:$X$4),""))</f>
        <v/>
      </c>
      <c r="U49" s="51" t="str">
        <f>IF(OR(U$2="",COUNT(الرصد!$C49:$Y49)=0),"",IFERROR(SUMIF(معالجة!$B$3:$X$3,U$2,الرصد!$C49:$Y49)/SUMIF(معالجة!$B$3:$X$3,U$2,معالجة!$B$4:$X$4),""))</f>
        <v/>
      </c>
      <c r="V49" s="51" t="str">
        <f>IF(OR(V$2="",COUNT(الرصد!$C49:$Y49)=0),"",IFERROR(SUMIF(معالجة!$B$3:$X$3,V$2,الرصد!$C49:$Y49)/SUMIF(معالجة!$B$3:$X$3,V$2,معالجة!$B$4:$X$4),""))</f>
        <v/>
      </c>
      <c r="W49" s="51" t="str">
        <f>IFERROR(C49/المهارات!$G$27,"")</f>
        <v/>
      </c>
    </row>
    <row r="50" spans="1:23" ht="14.25" customHeight="1">
      <c r="A50" s="46" t="s">
        <v>119</v>
      </c>
      <c r="B50" s="46" t="s">
        <v>19</v>
      </c>
      <c r="C50" s="52" t="str">
        <f>IF(COUNT(الرصد!C50:Y50)=0,"",SUM(الرصد!C50:Y50))</f>
        <v/>
      </c>
      <c r="D50" s="51" t="str">
        <f>IF(OR(D$2="",COUNT(الرصد!$C50:$Y50)=0),"",IFERROR(SUMIF(معالجة!$B$3:$X$3,D$2,الرصد!$C50:$Y50)/SUMIF(معالجة!$B$3:$X$3,D$2,معالجة!$B$4:$X$4),""))</f>
        <v/>
      </c>
      <c r="E50" s="51" t="str">
        <f>IF(OR(E$2="",COUNT(الرصد!$C50:$Y50)=0),"",IFERROR(SUMIF(معالجة!$B$3:$X$3,E$2,الرصد!$C50:$Y50)/SUMIF(معالجة!$B$3:$X$3,E$2,معالجة!$B$4:$X$4),""))</f>
        <v/>
      </c>
      <c r="F50" s="51" t="str">
        <f>IF(OR(F$2="",COUNT(الرصد!$C50:$Y50)=0),"",IFERROR(SUMIF(معالجة!$B$3:$X$3,F$2,الرصد!$C50:$Y50)/SUMIF(معالجة!$B$3:$X$3,F$2,معالجة!$B$4:$X$4),""))</f>
        <v/>
      </c>
      <c r="G50" s="51" t="str">
        <f>IF(OR(G$2="",COUNT(الرصد!$C50:$Y50)=0),"",IFERROR(SUMIF(معالجة!$B$3:$X$3,G$2,الرصد!$C50:$Y50)/SUMIF(معالجة!$B$3:$X$3,G$2,معالجة!$B$4:$X$4),""))</f>
        <v/>
      </c>
      <c r="H50" s="51" t="str">
        <f>IF(OR(H$2="",COUNT(الرصد!$C50:$Y50)=0),"",IFERROR(SUMIF(معالجة!$B$3:$X$3,H$2,الرصد!$C50:$Y50)/SUMIF(معالجة!$B$3:$X$3,H$2,معالجة!$B$4:$X$4),""))</f>
        <v/>
      </c>
      <c r="I50" s="51" t="str">
        <f>IF(OR(I$2="",COUNT(الرصد!$C50:$Y50)=0),"",IFERROR(SUMIF(معالجة!$B$3:$X$3,I$2,الرصد!$C50:$Y50)/SUMIF(معالجة!$B$3:$X$3,I$2,معالجة!$B$4:$X$4),""))</f>
        <v/>
      </c>
      <c r="J50" s="51" t="str">
        <f>IF(OR(J$2="",COUNT(الرصد!$C50:$Y50)=0),"",IFERROR(SUMIF(معالجة!$B$3:$X$3,J$2,الرصد!$C50:$Y50)/SUMIF(معالجة!$B$3:$X$3,J$2,معالجة!$B$4:$X$4),""))</f>
        <v/>
      </c>
      <c r="K50" s="51" t="str">
        <f>IF(OR(K$2="",COUNT(الرصد!$C50:$Y50)=0),"",IFERROR(SUMIF(معالجة!$B$3:$X$3,K$2,الرصد!$C50:$Y50)/SUMIF(معالجة!$B$3:$X$3,K$2,معالجة!$B$4:$X$4),""))</f>
        <v/>
      </c>
      <c r="L50" s="51" t="str">
        <f>IF(OR(L$2="",COUNT(الرصد!$C50:$Y50)=0),"",IFERROR(SUMIF(معالجة!$B$3:$X$3,L$2,الرصد!$C50:$Y50)/SUMIF(معالجة!$B$3:$X$3,L$2,معالجة!$B$4:$X$4),""))</f>
        <v/>
      </c>
      <c r="M50" s="51" t="str">
        <f>IF(OR(M$2="",COUNT(الرصد!$C50:$Y50)=0),"",IFERROR(SUMIF(معالجة!$B$3:$X$3,M$2,الرصد!$C50:$Y50)/SUMIF(معالجة!$B$3:$X$3,M$2,معالجة!$B$4:$X$4),""))</f>
        <v/>
      </c>
      <c r="N50" s="51" t="str">
        <f>IF(OR(N$2="",COUNT(الرصد!$C50:$Y50)=0),"",IFERROR(SUMIF(معالجة!$B$3:$X$3,N$2,الرصد!$C50:$Y50)/SUMIF(معالجة!$B$3:$X$3,N$2,معالجة!$B$4:$X$4),""))</f>
        <v/>
      </c>
      <c r="O50" s="51" t="str">
        <f>IF(OR(O$2="",COUNT(الرصد!$C50:$Y50)=0),"",IFERROR(SUMIF(معالجة!$B$3:$X$3,O$2,الرصد!$C50:$Y50)/SUMIF(معالجة!$B$3:$X$3,O$2,معالجة!$B$4:$X$4),""))</f>
        <v/>
      </c>
      <c r="P50" s="51" t="str">
        <f>IF(OR(P$2="",COUNT(الرصد!$C50:$Y50)=0),"",IFERROR(SUMIF(معالجة!$B$3:$X$3,P$2,الرصد!$C50:$Y50)/SUMIF(معالجة!$B$3:$X$3,P$2,معالجة!$B$4:$X$4),""))</f>
        <v/>
      </c>
      <c r="Q50" s="51" t="str">
        <f>IF(OR(Q$2="",COUNT(الرصد!$C50:$Y50)=0),"",IFERROR(SUMIF(معالجة!$B$3:$X$3,Q$2,الرصد!$C50:$Y50)/SUMIF(معالجة!$B$3:$X$3,Q$2,معالجة!$B$4:$X$4),""))</f>
        <v/>
      </c>
      <c r="R50" s="51" t="str">
        <f>IF(OR(R$2="",COUNT(الرصد!$C50:$Y50)=0),"",IFERROR(SUMIF(معالجة!$B$3:$X$3,R$2,الرصد!$C50:$Y50)/SUMIF(معالجة!$B$3:$X$3,R$2,معالجة!$B$4:$X$4),""))</f>
        <v/>
      </c>
      <c r="S50" s="51" t="str">
        <f>IF(OR(S$2="",COUNT(الرصد!$C50:$Y50)=0),"",IFERROR(SUMIF(معالجة!$B$3:$X$3,S$2,الرصد!$C50:$Y50)/SUMIF(معالجة!$B$3:$X$3,S$2,معالجة!$B$4:$X$4),""))</f>
        <v/>
      </c>
      <c r="T50" s="51" t="str">
        <f>IF(OR(T$2="",COUNT(الرصد!$C50:$Y50)=0),"",IFERROR(SUMIF(معالجة!$B$3:$X$3,T$2,الرصد!$C50:$Y50)/SUMIF(معالجة!$B$3:$X$3,T$2,معالجة!$B$4:$X$4),""))</f>
        <v/>
      </c>
      <c r="U50" s="51" t="str">
        <f>IF(OR(U$2="",COUNT(الرصد!$C50:$Y50)=0),"",IFERROR(SUMIF(معالجة!$B$3:$X$3,U$2,الرصد!$C50:$Y50)/SUMIF(معالجة!$B$3:$X$3,U$2,معالجة!$B$4:$X$4),""))</f>
        <v/>
      </c>
      <c r="V50" s="51" t="str">
        <f>IF(OR(V$2="",COUNT(الرصد!$C50:$Y50)=0),"",IFERROR(SUMIF(معالجة!$B$3:$X$3,V$2,الرصد!$C50:$Y50)/SUMIF(معالجة!$B$3:$X$3,V$2,معالجة!$B$4:$X$4),""))</f>
        <v/>
      </c>
      <c r="W50" s="51" t="str">
        <f>IFERROR(C50/المهارات!$G$27,"")</f>
        <v/>
      </c>
    </row>
    <row r="51" spans="1:23" ht="14.25" customHeight="1">
      <c r="A51" s="42" t="s">
        <v>120</v>
      </c>
      <c r="B51" s="42" t="s">
        <v>19</v>
      </c>
      <c r="C51" s="50" t="str">
        <f>IF(COUNT(الرصد!C51:Y51)=0,"",SUM(الرصد!C51:Y51))</f>
        <v/>
      </c>
      <c r="D51" s="51" t="str">
        <f>IF(OR(D$2="",COUNT(الرصد!$C51:$Y51)=0),"",IFERROR(SUMIF(معالجة!$B$3:$X$3,D$2,الرصد!$C51:$Y51)/SUMIF(معالجة!$B$3:$X$3,D$2,معالجة!$B$4:$X$4),""))</f>
        <v/>
      </c>
      <c r="E51" s="51" t="str">
        <f>IF(OR(E$2="",COUNT(الرصد!$C51:$Y51)=0),"",IFERROR(SUMIF(معالجة!$B$3:$X$3,E$2,الرصد!$C51:$Y51)/SUMIF(معالجة!$B$3:$X$3,E$2,معالجة!$B$4:$X$4),""))</f>
        <v/>
      </c>
      <c r="F51" s="51" t="str">
        <f>IF(OR(F$2="",COUNT(الرصد!$C51:$Y51)=0),"",IFERROR(SUMIF(معالجة!$B$3:$X$3,F$2,الرصد!$C51:$Y51)/SUMIF(معالجة!$B$3:$X$3,F$2,معالجة!$B$4:$X$4),""))</f>
        <v/>
      </c>
      <c r="G51" s="51" t="str">
        <f>IF(OR(G$2="",COUNT(الرصد!$C51:$Y51)=0),"",IFERROR(SUMIF(معالجة!$B$3:$X$3,G$2,الرصد!$C51:$Y51)/SUMIF(معالجة!$B$3:$X$3,G$2,معالجة!$B$4:$X$4),""))</f>
        <v/>
      </c>
      <c r="H51" s="51" t="str">
        <f>IF(OR(H$2="",COUNT(الرصد!$C51:$Y51)=0),"",IFERROR(SUMIF(معالجة!$B$3:$X$3,H$2,الرصد!$C51:$Y51)/SUMIF(معالجة!$B$3:$X$3,H$2,معالجة!$B$4:$X$4),""))</f>
        <v/>
      </c>
      <c r="I51" s="51" t="str">
        <f>IF(OR(I$2="",COUNT(الرصد!$C51:$Y51)=0),"",IFERROR(SUMIF(معالجة!$B$3:$X$3,I$2,الرصد!$C51:$Y51)/SUMIF(معالجة!$B$3:$X$3,I$2,معالجة!$B$4:$X$4),""))</f>
        <v/>
      </c>
      <c r="J51" s="51" t="str">
        <f>IF(OR(J$2="",COUNT(الرصد!$C51:$Y51)=0),"",IFERROR(SUMIF(معالجة!$B$3:$X$3,J$2,الرصد!$C51:$Y51)/SUMIF(معالجة!$B$3:$X$3,J$2,معالجة!$B$4:$X$4),""))</f>
        <v/>
      </c>
      <c r="K51" s="51" t="str">
        <f>IF(OR(K$2="",COUNT(الرصد!$C51:$Y51)=0),"",IFERROR(SUMIF(معالجة!$B$3:$X$3,K$2,الرصد!$C51:$Y51)/SUMIF(معالجة!$B$3:$X$3,K$2,معالجة!$B$4:$X$4),""))</f>
        <v/>
      </c>
      <c r="L51" s="51" t="str">
        <f>IF(OR(L$2="",COUNT(الرصد!$C51:$Y51)=0),"",IFERROR(SUMIF(معالجة!$B$3:$X$3,L$2,الرصد!$C51:$Y51)/SUMIF(معالجة!$B$3:$X$3,L$2,معالجة!$B$4:$X$4),""))</f>
        <v/>
      </c>
      <c r="M51" s="51" t="str">
        <f>IF(OR(M$2="",COUNT(الرصد!$C51:$Y51)=0),"",IFERROR(SUMIF(معالجة!$B$3:$X$3,M$2,الرصد!$C51:$Y51)/SUMIF(معالجة!$B$3:$X$3,M$2,معالجة!$B$4:$X$4),""))</f>
        <v/>
      </c>
      <c r="N51" s="51" t="str">
        <f>IF(OR(N$2="",COUNT(الرصد!$C51:$Y51)=0),"",IFERROR(SUMIF(معالجة!$B$3:$X$3,N$2,الرصد!$C51:$Y51)/SUMIF(معالجة!$B$3:$X$3,N$2,معالجة!$B$4:$X$4),""))</f>
        <v/>
      </c>
      <c r="O51" s="51" t="str">
        <f>IF(OR(O$2="",COUNT(الرصد!$C51:$Y51)=0),"",IFERROR(SUMIF(معالجة!$B$3:$X$3,O$2,الرصد!$C51:$Y51)/SUMIF(معالجة!$B$3:$X$3,O$2,معالجة!$B$4:$X$4),""))</f>
        <v/>
      </c>
      <c r="P51" s="51" t="str">
        <f>IF(OR(P$2="",COUNT(الرصد!$C51:$Y51)=0),"",IFERROR(SUMIF(معالجة!$B$3:$X$3,P$2,الرصد!$C51:$Y51)/SUMIF(معالجة!$B$3:$X$3,P$2,معالجة!$B$4:$X$4),""))</f>
        <v/>
      </c>
      <c r="Q51" s="51" t="str">
        <f>IF(OR(Q$2="",COUNT(الرصد!$C51:$Y51)=0),"",IFERROR(SUMIF(معالجة!$B$3:$X$3,Q$2,الرصد!$C51:$Y51)/SUMIF(معالجة!$B$3:$X$3,Q$2,معالجة!$B$4:$X$4),""))</f>
        <v/>
      </c>
      <c r="R51" s="51" t="str">
        <f>IF(OR(R$2="",COUNT(الرصد!$C51:$Y51)=0),"",IFERROR(SUMIF(معالجة!$B$3:$X$3,R$2,الرصد!$C51:$Y51)/SUMIF(معالجة!$B$3:$X$3,R$2,معالجة!$B$4:$X$4),""))</f>
        <v/>
      </c>
      <c r="S51" s="51" t="str">
        <f>IF(OR(S$2="",COUNT(الرصد!$C51:$Y51)=0),"",IFERROR(SUMIF(معالجة!$B$3:$X$3,S$2,الرصد!$C51:$Y51)/SUMIF(معالجة!$B$3:$X$3,S$2,معالجة!$B$4:$X$4),""))</f>
        <v/>
      </c>
      <c r="T51" s="51" t="str">
        <f>IF(OR(T$2="",COUNT(الرصد!$C51:$Y51)=0),"",IFERROR(SUMIF(معالجة!$B$3:$X$3,T$2,الرصد!$C51:$Y51)/SUMIF(معالجة!$B$3:$X$3,T$2,معالجة!$B$4:$X$4),""))</f>
        <v/>
      </c>
      <c r="U51" s="51" t="str">
        <f>IF(OR(U$2="",COUNT(الرصد!$C51:$Y51)=0),"",IFERROR(SUMIF(معالجة!$B$3:$X$3,U$2,الرصد!$C51:$Y51)/SUMIF(معالجة!$B$3:$X$3,U$2,معالجة!$B$4:$X$4),""))</f>
        <v/>
      </c>
      <c r="V51" s="51" t="str">
        <f>IF(OR(V$2="",COUNT(الرصد!$C51:$Y51)=0),"",IFERROR(SUMIF(معالجة!$B$3:$X$3,V$2,الرصد!$C51:$Y51)/SUMIF(معالجة!$B$3:$X$3,V$2,معالجة!$B$4:$X$4),""))</f>
        <v/>
      </c>
      <c r="W51" s="51" t="str">
        <f>IFERROR(C51/المهارات!$G$27,"")</f>
        <v/>
      </c>
    </row>
    <row r="52" spans="1:23" ht="14.25" customHeight="1">
      <c r="A52" s="46" t="s">
        <v>121</v>
      </c>
      <c r="B52" s="46" t="s">
        <v>19</v>
      </c>
      <c r="C52" s="52" t="str">
        <f>IF(COUNT(الرصد!C52:Y52)=0,"",SUM(الرصد!C52:Y52))</f>
        <v/>
      </c>
      <c r="D52" s="51" t="str">
        <f>IF(OR(D$2="",COUNT(الرصد!$C52:$Y52)=0),"",IFERROR(SUMIF(معالجة!$B$3:$X$3,D$2,الرصد!$C52:$Y52)/SUMIF(معالجة!$B$3:$X$3,D$2,معالجة!$B$4:$X$4),""))</f>
        <v/>
      </c>
      <c r="E52" s="51" t="str">
        <f>IF(OR(E$2="",COUNT(الرصد!$C52:$Y52)=0),"",IFERROR(SUMIF(معالجة!$B$3:$X$3,E$2,الرصد!$C52:$Y52)/SUMIF(معالجة!$B$3:$X$3,E$2,معالجة!$B$4:$X$4),""))</f>
        <v/>
      </c>
      <c r="F52" s="51" t="str">
        <f>IF(OR(F$2="",COUNT(الرصد!$C52:$Y52)=0),"",IFERROR(SUMIF(معالجة!$B$3:$X$3,F$2,الرصد!$C52:$Y52)/SUMIF(معالجة!$B$3:$X$3,F$2,معالجة!$B$4:$X$4),""))</f>
        <v/>
      </c>
      <c r="G52" s="51" t="str">
        <f>IF(OR(G$2="",COUNT(الرصد!$C52:$Y52)=0),"",IFERROR(SUMIF(معالجة!$B$3:$X$3,G$2,الرصد!$C52:$Y52)/SUMIF(معالجة!$B$3:$X$3,G$2,معالجة!$B$4:$X$4),""))</f>
        <v/>
      </c>
      <c r="H52" s="51" t="str">
        <f>IF(OR(H$2="",COUNT(الرصد!$C52:$Y52)=0),"",IFERROR(SUMIF(معالجة!$B$3:$X$3,H$2,الرصد!$C52:$Y52)/SUMIF(معالجة!$B$3:$X$3,H$2,معالجة!$B$4:$X$4),""))</f>
        <v/>
      </c>
      <c r="I52" s="51" t="str">
        <f>IF(OR(I$2="",COUNT(الرصد!$C52:$Y52)=0),"",IFERROR(SUMIF(معالجة!$B$3:$X$3,I$2,الرصد!$C52:$Y52)/SUMIF(معالجة!$B$3:$X$3,I$2,معالجة!$B$4:$X$4),""))</f>
        <v/>
      </c>
      <c r="J52" s="51" t="str">
        <f>IF(OR(J$2="",COUNT(الرصد!$C52:$Y52)=0),"",IFERROR(SUMIF(معالجة!$B$3:$X$3,J$2,الرصد!$C52:$Y52)/SUMIF(معالجة!$B$3:$X$3,J$2,معالجة!$B$4:$X$4),""))</f>
        <v/>
      </c>
      <c r="K52" s="51" t="str">
        <f>IF(OR(K$2="",COUNT(الرصد!$C52:$Y52)=0),"",IFERROR(SUMIF(معالجة!$B$3:$X$3,K$2,الرصد!$C52:$Y52)/SUMIF(معالجة!$B$3:$X$3,K$2,معالجة!$B$4:$X$4),""))</f>
        <v/>
      </c>
      <c r="L52" s="51" t="str">
        <f>IF(OR(L$2="",COUNT(الرصد!$C52:$Y52)=0),"",IFERROR(SUMIF(معالجة!$B$3:$X$3,L$2,الرصد!$C52:$Y52)/SUMIF(معالجة!$B$3:$X$3,L$2,معالجة!$B$4:$X$4),""))</f>
        <v/>
      </c>
      <c r="M52" s="51" t="str">
        <f>IF(OR(M$2="",COUNT(الرصد!$C52:$Y52)=0),"",IFERROR(SUMIF(معالجة!$B$3:$X$3,M$2,الرصد!$C52:$Y52)/SUMIF(معالجة!$B$3:$X$3,M$2,معالجة!$B$4:$X$4),""))</f>
        <v/>
      </c>
      <c r="N52" s="51" t="str">
        <f>IF(OR(N$2="",COUNT(الرصد!$C52:$Y52)=0),"",IFERROR(SUMIF(معالجة!$B$3:$X$3,N$2,الرصد!$C52:$Y52)/SUMIF(معالجة!$B$3:$X$3,N$2,معالجة!$B$4:$X$4),""))</f>
        <v/>
      </c>
      <c r="O52" s="51" t="str">
        <f>IF(OR(O$2="",COUNT(الرصد!$C52:$Y52)=0),"",IFERROR(SUMIF(معالجة!$B$3:$X$3,O$2,الرصد!$C52:$Y52)/SUMIF(معالجة!$B$3:$X$3,O$2,معالجة!$B$4:$X$4),""))</f>
        <v/>
      </c>
      <c r="P52" s="51" t="str">
        <f>IF(OR(P$2="",COUNT(الرصد!$C52:$Y52)=0),"",IFERROR(SUMIF(معالجة!$B$3:$X$3,P$2,الرصد!$C52:$Y52)/SUMIF(معالجة!$B$3:$X$3,P$2,معالجة!$B$4:$X$4),""))</f>
        <v/>
      </c>
      <c r="Q52" s="51" t="str">
        <f>IF(OR(Q$2="",COUNT(الرصد!$C52:$Y52)=0),"",IFERROR(SUMIF(معالجة!$B$3:$X$3,Q$2,الرصد!$C52:$Y52)/SUMIF(معالجة!$B$3:$X$3,Q$2,معالجة!$B$4:$X$4),""))</f>
        <v/>
      </c>
      <c r="R52" s="51" t="str">
        <f>IF(OR(R$2="",COUNT(الرصد!$C52:$Y52)=0),"",IFERROR(SUMIF(معالجة!$B$3:$X$3,R$2,الرصد!$C52:$Y52)/SUMIF(معالجة!$B$3:$X$3,R$2,معالجة!$B$4:$X$4),""))</f>
        <v/>
      </c>
      <c r="S52" s="51" t="str">
        <f>IF(OR(S$2="",COUNT(الرصد!$C52:$Y52)=0),"",IFERROR(SUMIF(معالجة!$B$3:$X$3,S$2,الرصد!$C52:$Y52)/SUMIF(معالجة!$B$3:$X$3,S$2,معالجة!$B$4:$X$4),""))</f>
        <v/>
      </c>
      <c r="T52" s="51" t="str">
        <f>IF(OR(T$2="",COUNT(الرصد!$C52:$Y52)=0),"",IFERROR(SUMIF(معالجة!$B$3:$X$3,T$2,الرصد!$C52:$Y52)/SUMIF(معالجة!$B$3:$X$3,T$2,معالجة!$B$4:$X$4),""))</f>
        <v/>
      </c>
      <c r="U52" s="51" t="str">
        <f>IF(OR(U$2="",COUNT(الرصد!$C52:$Y52)=0),"",IFERROR(SUMIF(معالجة!$B$3:$X$3,U$2,الرصد!$C52:$Y52)/SUMIF(معالجة!$B$3:$X$3,U$2,معالجة!$B$4:$X$4),""))</f>
        <v/>
      </c>
      <c r="V52" s="51" t="str">
        <f>IF(OR(V$2="",COUNT(الرصد!$C52:$Y52)=0),"",IFERROR(SUMIF(معالجة!$B$3:$X$3,V$2,الرصد!$C52:$Y52)/SUMIF(معالجة!$B$3:$X$3,V$2,معالجة!$B$4:$X$4),""))</f>
        <v/>
      </c>
      <c r="W52" s="51" t="str">
        <f>IFERROR(C52/المهارات!$G$27,"")</f>
        <v/>
      </c>
    </row>
    <row r="53" spans="1:23" ht="14.25" customHeight="1">
      <c r="A53" s="42" t="s">
        <v>122</v>
      </c>
      <c r="B53" s="42" t="s">
        <v>19</v>
      </c>
      <c r="C53" s="50" t="str">
        <f>IF(COUNT(الرصد!C53:Y53)=0,"",SUM(الرصد!C53:Y53))</f>
        <v/>
      </c>
      <c r="D53" s="51" t="str">
        <f>IF(OR(D$2="",COUNT(الرصد!$C53:$Y53)=0),"",IFERROR(SUMIF(معالجة!$B$3:$X$3,D$2,الرصد!$C53:$Y53)/SUMIF(معالجة!$B$3:$X$3,D$2,معالجة!$B$4:$X$4),""))</f>
        <v/>
      </c>
      <c r="E53" s="51" t="str">
        <f>IF(OR(E$2="",COUNT(الرصد!$C53:$Y53)=0),"",IFERROR(SUMIF(معالجة!$B$3:$X$3,E$2,الرصد!$C53:$Y53)/SUMIF(معالجة!$B$3:$X$3,E$2,معالجة!$B$4:$X$4),""))</f>
        <v/>
      </c>
      <c r="F53" s="51" t="str">
        <f>IF(OR(F$2="",COUNT(الرصد!$C53:$Y53)=0),"",IFERROR(SUMIF(معالجة!$B$3:$X$3,F$2,الرصد!$C53:$Y53)/SUMIF(معالجة!$B$3:$X$3,F$2,معالجة!$B$4:$X$4),""))</f>
        <v/>
      </c>
      <c r="G53" s="51" t="str">
        <f>IF(OR(G$2="",COUNT(الرصد!$C53:$Y53)=0),"",IFERROR(SUMIF(معالجة!$B$3:$X$3,G$2,الرصد!$C53:$Y53)/SUMIF(معالجة!$B$3:$X$3,G$2,معالجة!$B$4:$X$4),""))</f>
        <v/>
      </c>
      <c r="H53" s="51" t="str">
        <f>IF(OR(H$2="",COUNT(الرصد!$C53:$Y53)=0),"",IFERROR(SUMIF(معالجة!$B$3:$X$3,H$2,الرصد!$C53:$Y53)/SUMIF(معالجة!$B$3:$X$3,H$2,معالجة!$B$4:$X$4),""))</f>
        <v/>
      </c>
      <c r="I53" s="51" t="str">
        <f>IF(OR(I$2="",COUNT(الرصد!$C53:$Y53)=0),"",IFERROR(SUMIF(معالجة!$B$3:$X$3,I$2,الرصد!$C53:$Y53)/SUMIF(معالجة!$B$3:$X$3,I$2,معالجة!$B$4:$X$4),""))</f>
        <v/>
      </c>
      <c r="J53" s="51" t="str">
        <f>IF(OR(J$2="",COUNT(الرصد!$C53:$Y53)=0),"",IFERROR(SUMIF(معالجة!$B$3:$X$3,J$2,الرصد!$C53:$Y53)/SUMIF(معالجة!$B$3:$X$3,J$2,معالجة!$B$4:$X$4),""))</f>
        <v/>
      </c>
      <c r="K53" s="51" t="str">
        <f>IF(OR(K$2="",COUNT(الرصد!$C53:$Y53)=0),"",IFERROR(SUMIF(معالجة!$B$3:$X$3,K$2,الرصد!$C53:$Y53)/SUMIF(معالجة!$B$3:$X$3,K$2,معالجة!$B$4:$X$4),""))</f>
        <v/>
      </c>
      <c r="L53" s="51" t="str">
        <f>IF(OR(L$2="",COUNT(الرصد!$C53:$Y53)=0),"",IFERROR(SUMIF(معالجة!$B$3:$X$3,L$2,الرصد!$C53:$Y53)/SUMIF(معالجة!$B$3:$X$3,L$2,معالجة!$B$4:$X$4),""))</f>
        <v/>
      </c>
      <c r="M53" s="51" t="str">
        <f>IF(OR(M$2="",COUNT(الرصد!$C53:$Y53)=0),"",IFERROR(SUMIF(معالجة!$B$3:$X$3,M$2,الرصد!$C53:$Y53)/SUMIF(معالجة!$B$3:$X$3,M$2,معالجة!$B$4:$X$4),""))</f>
        <v/>
      </c>
      <c r="N53" s="51" t="str">
        <f>IF(OR(N$2="",COUNT(الرصد!$C53:$Y53)=0),"",IFERROR(SUMIF(معالجة!$B$3:$X$3,N$2,الرصد!$C53:$Y53)/SUMIF(معالجة!$B$3:$X$3,N$2,معالجة!$B$4:$X$4),""))</f>
        <v/>
      </c>
      <c r="O53" s="51" t="str">
        <f>IF(OR(O$2="",COUNT(الرصد!$C53:$Y53)=0),"",IFERROR(SUMIF(معالجة!$B$3:$X$3,O$2,الرصد!$C53:$Y53)/SUMIF(معالجة!$B$3:$X$3,O$2,معالجة!$B$4:$X$4),""))</f>
        <v/>
      </c>
      <c r="P53" s="51" t="str">
        <f>IF(OR(P$2="",COUNT(الرصد!$C53:$Y53)=0),"",IFERROR(SUMIF(معالجة!$B$3:$X$3,P$2,الرصد!$C53:$Y53)/SUMIF(معالجة!$B$3:$X$3,P$2,معالجة!$B$4:$X$4),""))</f>
        <v/>
      </c>
      <c r="Q53" s="51" t="str">
        <f>IF(OR(Q$2="",COUNT(الرصد!$C53:$Y53)=0),"",IFERROR(SUMIF(معالجة!$B$3:$X$3,Q$2,الرصد!$C53:$Y53)/SUMIF(معالجة!$B$3:$X$3,Q$2,معالجة!$B$4:$X$4),""))</f>
        <v/>
      </c>
      <c r="R53" s="51" t="str">
        <f>IF(OR(R$2="",COUNT(الرصد!$C53:$Y53)=0),"",IFERROR(SUMIF(معالجة!$B$3:$X$3,R$2,الرصد!$C53:$Y53)/SUMIF(معالجة!$B$3:$X$3,R$2,معالجة!$B$4:$X$4),""))</f>
        <v/>
      </c>
      <c r="S53" s="51" t="str">
        <f>IF(OR(S$2="",COUNT(الرصد!$C53:$Y53)=0),"",IFERROR(SUMIF(معالجة!$B$3:$X$3,S$2,الرصد!$C53:$Y53)/SUMIF(معالجة!$B$3:$X$3,S$2,معالجة!$B$4:$X$4),""))</f>
        <v/>
      </c>
      <c r="T53" s="51" t="str">
        <f>IF(OR(T$2="",COUNT(الرصد!$C53:$Y53)=0),"",IFERROR(SUMIF(معالجة!$B$3:$X$3,T$2,الرصد!$C53:$Y53)/SUMIF(معالجة!$B$3:$X$3,T$2,معالجة!$B$4:$X$4),""))</f>
        <v/>
      </c>
      <c r="U53" s="51" t="str">
        <f>IF(OR(U$2="",COUNT(الرصد!$C53:$Y53)=0),"",IFERROR(SUMIF(معالجة!$B$3:$X$3,U$2,الرصد!$C53:$Y53)/SUMIF(معالجة!$B$3:$X$3,U$2,معالجة!$B$4:$X$4),""))</f>
        <v/>
      </c>
      <c r="V53" s="51" t="str">
        <f>IF(OR(V$2="",COUNT(الرصد!$C53:$Y53)=0),"",IFERROR(SUMIF(معالجة!$B$3:$X$3,V$2,الرصد!$C53:$Y53)/SUMIF(معالجة!$B$3:$X$3,V$2,معالجة!$B$4:$X$4),""))</f>
        <v/>
      </c>
      <c r="W53" s="51" t="str">
        <f>IFERROR(C53/المهارات!$G$27,"")</f>
        <v/>
      </c>
    </row>
    <row r="54" spans="1:23" ht="14.25" customHeight="1">
      <c r="A54" s="46" t="s">
        <v>123</v>
      </c>
      <c r="B54" s="46" t="s">
        <v>19</v>
      </c>
      <c r="C54" s="52" t="str">
        <f>IF(COUNT(الرصد!C54:Y54)=0,"",SUM(الرصد!C54:Y54))</f>
        <v/>
      </c>
      <c r="D54" s="51" t="str">
        <f>IF(OR(D$2="",COUNT(الرصد!$C54:$Y54)=0),"",IFERROR(SUMIF(معالجة!$B$3:$X$3,D$2,الرصد!$C54:$Y54)/SUMIF(معالجة!$B$3:$X$3,D$2,معالجة!$B$4:$X$4),""))</f>
        <v/>
      </c>
      <c r="E54" s="51" t="str">
        <f>IF(OR(E$2="",COUNT(الرصد!$C54:$Y54)=0),"",IFERROR(SUMIF(معالجة!$B$3:$X$3,E$2,الرصد!$C54:$Y54)/SUMIF(معالجة!$B$3:$X$3,E$2,معالجة!$B$4:$X$4),""))</f>
        <v/>
      </c>
      <c r="F54" s="51" t="str">
        <f>IF(OR(F$2="",COUNT(الرصد!$C54:$Y54)=0),"",IFERROR(SUMIF(معالجة!$B$3:$X$3,F$2,الرصد!$C54:$Y54)/SUMIF(معالجة!$B$3:$X$3,F$2,معالجة!$B$4:$X$4),""))</f>
        <v/>
      </c>
      <c r="G54" s="51" t="str">
        <f>IF(OR(G$2="",COUNT(الرصد!$C54:$Y54)=0),"",IFERROR(SUMIF(معالجة!$B$3:$X$3,G$2,الرصد!$C54:$Y54)/SUMIF(معالجة!$B$3:$X$3,G$2,معالجة!$B$4:$X$4),""))</f>
        <v/>
      </c>
      <c r="H54" s="51" t="str">
        <f>IF(OR(H$2="",COUNT(الرصد!$C54:$Y54)=0),"",IFERROR(SUMIF(معالجة!$B$3:$X$3,H$2,الرصد!$C54:$Y54)/SUMIF(معالجة!$B$3:$X$3,H$2,معالجة!$B$4:$X$4),""))</f>
        <v/>
      </c>
      <c r="I54" s="51" t="str">
        <f>IF(OR(I$2="",COUNT(الرصد!$C54:$Y54)=0),"",IFERROR(SUMIF(معالجة!$B$3:$X$3,I$2,الرصد!$C54:$Y54)/SUMIF(معالجة!$B$3:$X$3,I$2,معالجة!$B$4:$X$4),""))</f>
        <v/>
      </c>
      <c r="J54" s="51" t="str">
        <f>IF(OR(J$2="",COUNT(الرصد!$C54:$Y54)=0),"",IFERROR(SUMIF(معالجة!$B$3:$X$3,J$2,الرصد!$C54:$Y54)/SUMIF(معالجة!$B$3:$X$3,J$2,معالجة!$B$4:$X$4),""))</f>
        <v/>
      </c>
      <c r="K54" s="51" t="str">
        <f>IF(OR(K$2="",COUNT(الرصد!$C54:$Y54)=0),"",IFERROR(SUMIF(معالجة!$B$3:$X$3,K$2,الرصد!$C54:$Y54)/SUMIF(معالجة!$B$3:$X$3,K$2,معالجة!$B$4:$X$4),""))</f>
        <v/>
      </c>
      <c r="L54" s="51" t="str">
        <f>IF(OR(L$2="",COUNT(الرصد!$C54:$Y54)=0),"",IFERROR(SUMIF(معالجة!$B$3:$X$3,L$2,الرصد!$C54:$Y54)/SUMIF(معالجة!$B$3:$X$3,L$2,معالجة!$B$4:$X$4),""))</f>
        <v/>
      </c>
      <c r="M54" s="51" t="str">
        <f>IF(OR(M$2="",COUNT(الرصد!$C54:$Y54)=0),"",IFERROR(SUMIF(معالجة!$B$3:$X$3,M$2,الرصد!$C54:$Y54)/SUMIF(معالجة!$B$3:$X$3,M$2,معالجة!$B$4:$X$4),""))</f>
        <v/>
      </c>
      <c r="N54" s="51" t="str">
        <f>IF(OR(N$2="",COUNT(الرصد!$C54:$Y54)=0),"",IFERROR(SUMIF(معالجة!$B$3:$X$3,N$2,الرصد!$C54:$Y54)/SUMIF(معالجة!$B$3:$X$3,N$2,معالجة!$B$4:$X$4),""))</f>
        <v/>
      </c>
      <c r="O54" s="51" t="str">
        <f>IF(OR(O$2="",COUNT(الرصد!$C54:$Y54)=0),"",IFERROR(SUMIF(معالجة!$B$3:$X$3,O$2,الرصد!$C54:$Y54)/SUMIF(معالجة!$B$3:$X$3,O$2,معالجة!$B$4:$X$4),""))</f>
        <v/>
      </c>
      <c r="P54" s="51" t="str">
        <f>IF(OR(P$2="",COUNT(الرصد!$C54:$Y54)=0),"",IFERROR(SUMIF(معالجة!$B$3:$X$3,P$2,الرصد!$C54:$Y54)/SUMIF(معالجة!$B$3:$X$3,P$2,معالجة!$B$4:$X$4),""))</f>
        <v/>
      </c>
      <c r="Q54" s="51" t="str">
        <f>IF(OR(Q$2="",COUNT(الرصد!$C54:$Y54)=0),"",IFERROR(SUMIF(معالجة!$B$3:$X$3,Q$2,الرصد!$C54:$Y54)/SUMIF(معالجة!$B$3:$X$3,Q$2,معالجة!$B$4:$X$4),""))</f>
        <v/>
      </c>
      <c r="R54" s="51" t="str">
        <f>IF(OR(R$2="",COUNT(الرصد!$C54:$Y54)=0),"",IFERROR(SUMIF(معالجة!$B$3:$X$3,R$2,الرصد!$C54:$Y54)/SUMIF(معالجة!$B$3:$X$3,R$2,معالجة!$B$4:$X$4),""))</f>
        <v/>
      </c>
      <c r="S54" s="51" t="str">
        <f>IF(OR(S$2="",COUNT(الرصد!$C54:$Y54)=0),"",IFERROR(SUMIF(معالجة!$B$3:$X$3,S$2,الرصد!$C54:$Y54)/SUMIF(معالجة!$B$3:$X$3,S$2,معالجة!$B$4:$X$4),""))</f>
        <v/>
      </c>
      <c r="T54" s="51" t="str">
        <f>IF(OR(T$2="",COUNT(الرصد!$C54:$Y54)=0),"",IFERROR(SUMIF(معالجة!$B$3:$X$3,T$2,الرصد!$C54:$Y54)/SUMIF(معالجة!$B$3:$X$3,T$2,معالجة!$B$4:$X$4),""))</f>
        <v/>
      </c>
      <c r="U54" s="51" t="str">
        <f>IF(OR(U$2="",COUNT(الرصد!$C54:$Y54)=0),"",IFERROR(SUMIF(معالجة!$B$3:$X$3,U$2,الرصد!$C54:$Y54)/SUMIF(معالجة!$B$3:$X$3,U$2,معالجة!$B$4:$X$4),""))</f>
        <v/>
      </c>
      <c r="V54" s="51" t="str">
        <f>IF(OR(V$2="",COUNT(الرصد!$C54:$Y54)=0),"",IFERROR(SUMIF(معالجة!$B$3:$X$3,V$2,الرصد!$C54:$Y54)/SUMIF(معالجة!$B$3:$X$3,V$2,معالجة!$B$4:$X$4),""))</f>
        <v/>
      </c>
      <c r="W54" s="51" t="str">
        <f>IFERROR(C54/المهارات!$G$27,"")</f>
        <v/>
      </c>
    </row>
    <row r="55" spans="1:23" ht="14.25" customHeight="1">
      <c r="A55" s="42" t="s">
        <v>124</v>
      </c>
      <c r="B55" s="42" t="s">
        <v>19</v>
      </c>
      <c r="C55" s="50" t="str">
        <f>IF(COUNT(الرصد!C55:Y55)=0,"",SUM(الرصد!C55:Y55))</f>
        <v/>
      </c>
      <c r="D55" s="51" t="str">
        <f>IF(OR(D$2="",COUNT(الرصد!$C55:$Y55)=0),"",IFERROR(SUMIF(معالجة!$B$3:$X$3,D$2,الرصد!$C55:$Y55)/SUMIF(معالجة!$B$3:$X$3,D$2,معالجة!$B$4:$X$4),""))</f>
        <v/>
      </c>
      <c r="E55" s="51" t="str">
        <f>IF(OR(E$2="",COUNT(الرصد!$C55:$Y55)=0),"",IFERROR(SUMIF(معالجة!$B$3:$X$3,E$2,الرصد!$C55:$Y55)/SUMIF(معالجة!$B$3:$X$3,E$2,معالجة!$B$4:$X$4),""))</f>
        <v/>
      </c>
      <c r="F55" s="51" t="str">
        <f>IF(OR(F$2="",COUNT(الرصد!$C55:$Y55)=0),"",IFERROR(SUMIF(معالجة!$B$3:$X$3,F$2,الرصد!$C55:$Y55)/SUMIF(معالجة!$B$3:$X$3,F$2,معالجة!$B$4:$X$4),""))</f>
        <v/>
      </c>
      <c r="G55" s="51" t="str">
        <f>IF(OR(G$2="",COUNT(الرصد!$C55:$Y55)=0),"",IFERROR(SUMIF(معالجة!$B$3:$X$3,G$2,الرصد!$C55:$Y55)/SUMIF(معالجة!$B$3:$X$3,G$2,معالجة!$B$4:$X$4),""))</f>
        <v/>
      </c>
      <c r="H55" s="51" t="str">
        <f>IF(OR(H$2="",COUNT(الرصد!$C55:$Y55)=0),"",IFERROR(SUMIF(معالجة!$B$3:$X$3,H$2,الرصد!$C55:$Y55)/SUMIF(معالجة!$B$3:$X$3,H$2,معالجة!$B$4:$X$4),""))</f>
        <v/>
      </c>
      <c r="I55" s="51" t="str">
        <f>IF(OR(I$2="",COUNT(الرصد!$C55:$Y55)=0),"",IFERROR(SUMIF(معالجة!$B$3:$X$3,I$2,الرصد!$C55:$Y55)/SUMIF(معالجة!$B$3:$X$3,I$2,معالجة!$B$4:$X$4),""))</f>
        <v/>
      </c>
      <c r="J55" s="51" t="str">
        <f>IF(OR(J$2="",COUNT(الرصد!$C55:$Y55)=0),"",IFERROR(SUMIF(معالجة!$B$3:$X$3,J$2,الرصد!$C55:$Y55)/SUMIF(معالجة!$B$3:$X$3,J$2,معالجة!$B$4:$X$4),""))</f>
        <v/>
      </c>
      <c r="K55" s="51" t="str">
        <f>IF(OR(K$2="",COUNT(الرصد!$C55:$Y55)=0),"",IFERROR(SUMIF(معالجة!$B$3:$X$3,K$2,الرصد!$C55:$Y55)/SUMIF(معالجة!$B$3:$X$3,K$2,معالجة!$B$4:$X$4),""))</f>
        <v/>
      </c>
      <c r="L55" s="51" t="str">
        <f>IF(OR(L$2="",COUNT(الرصد!$C55:$Y55)=0),"",IFERROR(SUMIF(معالجة!$B$3:$X$3,L$2,الرصد!$C55:$Y55)/SUMIF(معالجة!$B$3:$X$3,L$2,معالجة!$B$4:$X$4),""))</f>
        <v/>
      </c>
      <c r="M55" s="51" t="str">
        <f>IF(OR(M$2="",COUNT(الرصد!$C55:$Y55)=0),"",IFERROR(SUMIF(معالجة!$B$3:$X$3,M$2,الرصد!$C55:$Y55)/SUMIF(معالجة!$B$3:$X$3,M$2,معالجة!$B$4:$X$4),""))</f>
        <v/>
      </c>
      <c r="N55" s="51" t="str">
        <f>IF(OR(N$2="",COUNT(الرصد!$C55:$Y55)=0),"",IFERROR(SUMIF(معالجة!$B$3:$X$3,N$2,الرصد!$C55:$Y55)/SUMIF(معالجة!$B$3:$X$3,N$2,معالجة!$B$4:$X$4),""))</f>
        <v/>
      </c>
      <c r="O55" s="51" t="str">
        <f>IF(OR(O$2="",COUNT(الرصد!$C55:$Y55)=0),"",IFERROR(SUMIF(معالجة!$B$3:$X$3,O$2,الرصد!$C55:$Y55)/SUMIF(معالجة!$B$3:$X$3,O$2,معالجة!$B$4:$X$4),""))</f>
        <v/>
      </c>
      <c r="P55" s="51" t="str">
        <f>IF(OR(P$2="",COUNT(الرصد!$C55:$Y55)=0),"",IFERROR(SUMIF(معالجة!$B$3:$X$3,P$2,الرصد!$C55:$Y55)/SUMIF(معالجة!$B$3:$X$3,P$2,معالجة!$B$4:$X$4),""))</f>
        <v/>
      </c>
      <c r="Q55" s="51" t="str">
        <f>IF(OR(Q$2="",COUNT(الرصد!$C55:$Y55)=0),"",IFERROR(SUMIF(معالجة!$B$3:$X$3,Q$2,الرصد!$C55:$Y55)/SUMIF(معالجة!$B$3:$X$3,Q$2,معالجة!$B$4:$X$4),""))</f>
        <v/>
      </c>
      <c r="R55" s="51" t="str">
        <f>IF(OR(R$2="",COUNT(الرصد!$C55:$Y55)=0),"",IFERROR(SUMIF(معالجة!$B$3:$X$3,R$2,الرصد!$C55:$Y55)/SUMIF(معالجة!$B$3:$X$3,R$2,معالجة!$B$4:$X$4),""))</f>
        <v/>
      </c>
      <c r="S55" s="51" t="str">
        <f>IF(OR(S$2="",COUNT(الرصد!$C55:$Y55)=0),"",IFERROR(SUMIF(معالجة!$B$3:$X$3,S$2,الرصد!$C55:$Y55)/SUMIF(معالجة!$B$3:$X$3,S$2,معالجة!$B$4:$X$4),""))</f>
        <v/>
      </c>
      <c r="T55" s="51" t="str">
        <f>IF(OR(T$2="",COUNT(الرصد!$C55:$Y55)=0),"",IFERROR(SUMIF(معالجة!$B$3:$X$3,T$2,الرصد!$C55:$Y55)/SUMIF(معالجة!$B$3:$X$3,T$2,معالجة!$B$4:$X$4),""))</f>
        <v/>
      </c>
      <c r="U55" s="51" t="str">
        <f>IF(OR(U$2="",COUNT(الرصد!$C55:$Y55)=0),"",IFERROR(SUMIF(معالجة!$B$3:$X$3,U$2,الرصد!$C55:$Y55)/SUMIF(معالجة!$B$3:$X$3,U$2,معالجة!$B$4:$X$4),""))</f>
        <v/>
      </c>
      <c r="V55" s="51" t="str">
        <f>IF(OR(V$2="",COUNT(الرصد!$C55:$Y55)=0),"",IFERROR(SUMIF(معالجة!$B$3:$X$3,V$2,الرصد!$C55:$Y55)/SUMIF(معالجة!$B$3:$X$3,V$2,معالجة!$B$4:$X$4),""))</f>
        <v/>
      </c>
      <c r="W55" s="51" t="str">
        <f>IFERROR(C55/المهارات!$G$27,"")</f>
        <v/>
      </c>
    </row>
    <row r="56" spans="1:23" ht="14.25" customHeight="1">
      <c r="A56" s="46" t="s">
        <v>125</v>
      </c>
      <c r="B56" s="46" t="s">
        <v>19</v>
      </c>
      <c r="C56" s="52" t="str">
        <f>IF(COUNT(الرصد!C56:Y56)=0,"",SUM(الرصد!C56:Y56))</f>
        <v/>
      </c>
      <c r="D56" s="51" t="str">
        <f>IF(OR(D$2="",COUNT(الرصد!$C56:$Y56)=0),"",IFERROR(SUMIF(معالجة!$B$3:$X$3,D$2,الرصد!$C56:$Y56)/SUMIF(معالجة!$B$3:$X$3,D$2,معالجة!$B$4:$X$4),""))</f>
        <v/>
      </c>
      <c r="E56" s="51" t="str">
        <f>IF(OR(E$2="",COUNT(الرصد!$C56:$Y56)=0),"",IFERROR(SUMIF(معالجة!$B$3:$X$3,E$2,الرصد!$C56:$Y56)/SUMIF(معالجة!$B$3:$X$3,E$2,معالجة!$B$4:$X$4),""))</f>
        <v/>
      </c>
      <c r="F56" s="51" t="str">
        <f>IF(OR(F$2="",COUNT(الرصد!$C56:$Y56)=0),"",IFERROR(SUMIF(معالجة!$B$3:$X$3,F$2,الرصد!$C56:$Y56)/SUMIF(معالجة!$B$3:$X$3,F$2,معالجة!$B$4:$X$4),""))</f>
        <v/>
      </c>
      <c r="G56" s="51" t="str">
        <f>IF(OR(G$2="",COUNT(الرصد!$C56:$Y56)=0),"",IFERROR(SUMIF(معالجة!$B$3:$X$3,G$2,الرصد!$C56:$Y56)/SUMIF(معالجة!$B$3:$X$3,G$2,معالجة!$B$4:$X$4),""))</f>
        <v/>
      </c>
      <c r="H56" s="51" t="str">
        <f>IF(OR(H$2="",COUNT(الرصد!$C56:$Y56)=0),"",IFERROR(SUMIF(معالجة!$B$3:$X$3,H$2,الرصد!$C56:$Y56)/SUMIF(معالجة!$B$3:$X$3,H$2,معالجة!$B$4:$X$4),""))</f>
        <v/>
      </c>
      <c r="I56" s="51" t="str">
        <f>IF(OR(I$2="",COUNT(الرصد!$C56:$Y56)=0),"",IFERROR(SUMIF(معالجة!$B$3:$X$3,I$2,الرصد!$C56:$Y56)/SUMIF(معالجة!$B$3:$X$3,I$2,معالجة!$B$4:$X$4),""))</f>
        <v/>
      </c>
      <c r="J56" s="51" t="str">
        <f>IF(OR(J$2="",COUNT(الرصد!$C56:$Y56)=0),"",IFERROR(SUMIF(معالجة!$B$3:$X$3,J$2,الرصد!$C56:$Y56)/SUMIF(معالجة!$B$3:$X$3,J$2,معالجة!$B$4:$X$4),""))</f>
        <v/>
      </c>
      <c r="K56" s="51" t="str">
        <f>IF(OR(K$2="",COUNT(الرصد!$C56:$Y56)=0),"",IFERROR(SUMIF(معالجة!$B$3:$X$3,K$2,الرصد!$C56:$Y56)/SUMIF(معالجة!$B$3:$X$3,K$2,معالجة!$B$4:$X$4),""))</f>
        <v/>
      </c>
      <c r="L56" s="51" t="str">
        <f>IF(OR(L$2="",COUNT(الرصد!$C56:$Y56)=0),"",IFERROR(SUMIF(معالجة!$B$3:$X$3,L$2,الرصد!$C56:$Y56)/SUMIF(معالجة!$B$3:$X$3,L$2,معالجة!$B$4:$X$4),""))</f>
        <v/>
      </c>
      <c r="M56" s="51" t="str">
        <f>IF(OR(M$2="",COUNT(الرصد!$C56:$Y56)=0),"",IFERROR(SUMIF(معالجة!$B$3:$X$3,M$2,الرصد!$C56:$Y56)/SUMIF(معالجة!$B$3:$X$3,M$2,معالجة!$B$4:$X$4),""))</f>
        <v/>
      </c>
      <c r="N56" s="51" t="str">
        <f>IF(OR(N$2="",COUNT(الرصد!$C56:$Y56)=0),"",IFERROR(SUMIF(معالجة!$B$3:$X$3,N$2,الرصد!$C56:$Y56)/SUMIF(معالجة!$B$3:$X$3,N$2,معالجة!$B$4:$X$4),""))</f>
        <v/>
      </c>
      <c r="O56" s="51" t="str">
        <f>IF(OR(O$2="",COUNT(الرصد!$C56:$Y56)=0),"",IFERROR(SUMIF(معالجة!$B$3:$X$3,O$2,الرصد!$C56:$Y56)/SUMIF(معالجة!$B$3:$X$3,O$2,معالجة!$B$4:$X$4),""))</f>
        <v/>
      </c>
      <c r="P56" s="51" t="str">
        <f>IF(OR(P$2="",COUNT(الرصد!$C56:$Y56)=0),"",IFERROR(SUMIF(معالجة!$B$3:$X$3,P$2,الرصد!$C56:$Y56)/SUMIF(معالجة!$B$3:$X$3,P$2,معالجة!$B$4:$X$4),""))</f>
        <v/>
      </c>
      <c r="Q56" s="51" t="str">
        <f>IF(OR(Q$2="",COUNT(الرصد!$C56:$Y56)=0),"",IFERROR(SUMIF(معالجة!$B$3:$X$3,Q$2,الرصد!$C56:$Y56)/SUMIF(معالجة!$B$3:$X$3,Q$2,معالجة!$B$4:$X$4),""))</f>
        <v/>
      </c>
      <c r="R56" s="51" t="str">
        <f>IF(OR(R$2="",COUNT(الرصد!$C56:$Y56)=0),"",IFERROR(SUMIF(معالجة!$B$3:$X$3,R$2,الرصد!$C56:$Y56)/SUMIF(معالجة!$B$3:$X$3,R$2,معالجة!$B$4:$X$4),""))</f>
        <v/>
      </c>
      <c r="S56" s="51" t="str">
        <f>IF(OR(S$2="",COUNT(الرصد!$C56:$Y56)=0),"",IFERROR(SUMIF(معالجة!$B$3:$X$3,S$2,الرصد!$C56:$Y56)/SUMIF(معالجة!$B$3:$X$3,S$2,معالجة!$B$4:$X$4),""))</f>
        <v/>
      </c>
      <c r="T56" s="51" t="str">
        <f>IF(OR(T$2="",COUNT(الرصد!$C56:$Y56)=0),"",IFERROR(SUMIF(معالجة!$B$3:$X$3,T$2,الرصد!$C56:$Y56)/SUMIF(معالجة!$B$3:$X$3,T$2,معالجة!$B$4:$X$4),""))</f>
        <v/>
      </c>
      <c r="U56" s="51" t="str">
        <f>IF(OR(U$2="",COUNT(الرصد!$C56:$Y56)=0),"",IFERROR(SUMIF(معالجة!$B$3:$X$3,U$2,الرصد!$C56:$Y56)/SUMIF(معالجة!$B$3:$X$3,U$2,معالجة!$B$4:$X$4),""))</f>
        <v/>
      </c>
      <c r="V56" s="51" t="str">
        <f>IF(OR(V$2="",COUNT(الرصد!$C56:$Y56)=0),"",IFERROR(SUMIF(معالجة!$B$3:$X$3,V$2,الرصد!$C56:$Y56)/SUMIF(معالجة!$B$3:$X$3,V$2,معالجة!$B$4:$X$4),""))</f>
        <v/>
      </c>
      <c r="W56" s="51" t="str">
        <f>IFERROR(C56/المهارات!$G$27,"")</f>
        <v/>
      </c>
    </row>
    <row r="57" spans="1:23" ht="14.25" customHeight="1">
      <c r="A57" s="42" t="s">
        <v>126</v>
      </c>
      <c r="B57" s="42" t="s">
        <v>19</v>
      </c>
      <c r="C57" s="50" t="str">
        <f>IF(COUNT(الرصد!C57:Y57)=0,"",SUM(الرصد!C57:Y57))</f>
        <v/>
      </c>
      <c r="D57" s="51" t="str">
        <f>IF(OR(D$2="",COUNT(الرصد!$C57:$Y57)=0),"",IFERROR(SUMIF(معالجة!$B$3:$X$3,D$2,الرصد!$C57:$Y57)/SUMIF(معالجة!$B$3:$X$3,D$2,معالجة!$B$4:$X$4),""))</f>
        <v/>
      </c>
      <c r="E57" s="51" t="str">
        <f>IF(OR(E$2="",COUNT(الرصد!$C57:$Y57)=0),"",IFERROR(SUMIF(معالجة!$B$3:$X$3,E$2,الرصد!$C57:$Y57)/SUMIF(معالجة!$B$3:$X$3,E$2,معالجة!$B$4:$X$4),""))</f>
        <v/>
      </c>
      <c r="F57" s="51" t="str">
        <f>IF(OR(F$2="",COUNT(الرصد!$C57:$Y57)=0),"",IFERROR(SUMIF(معالجة!$B$3:$X$3,F$2,الرصد!$C57:$Y57)/SUMIF(معالجة!$B$3:$X$3,F$2,معالجة!$B$4:$X$4),""))</f>
        <v/>
      </c>
      <c r="G57" s="51" t="str">
        <f>IF(OR(G$2="",COUNT(الرصد!$C57:$Y57)=0),"",IFERROR(SUMIF(معالجة!$B$3:$X$3,G$2,الرصد!$C57:$Y57)/SUMIF(معالجة!$B$3:$X$3,G$2,معالجة!$B$4:$X$4),""))</f>
        <v/>
      </c>
      <c r="H57" s="51" t="str">
        <f>IF(OR(H$2="",COUNT(الرصد!$C57:$Y57)=0),"",IFERROR(SUMIF(معالجة!$B$3:$X$3,H$2,الرصد!$C57:$Y57)/SUMIF(معالجة!$B$3:$X$3,H$2,معالجة!$B$4:$X$4),""))</f>
        <v/>
      </c>
      <c r="I57" s="51" t="str">
        <f>IF(OR(I$2="",COUNT(الرصد!$C57:$Y57)=0),"",IFERROR(SUMIF(معالجة!$B$3:$X$3,I$2,الرصد!$C57:$Y57)/SUMIF(معالجة!$B$3:$X$3,I$2,معالجة!$B$4:$X$4),""))</f>
        <v/>
      </c>
      <c r="J57" s="51" t="str">
        <f>IF(OR(J$2="",COUNT(الرصد!$C57:$Y57)=0),"",IFERROR(SUMIF(معالجة!$B$3:$X$3,J$2,الرصد!$C57:$Y57)/SUMIF(معالجة!$B$3:$X$3,J$2,معالجة!$B$4:$X$4),""))</f>
        <v/>
      </c>
      <c r="K57" s="51" t="str">
        <f>IF(OR(K$2="",COUNT(الرصد!$C57:$Y57)=0),"",IFERROR(SUMIF(معالجة!$B$3:$X$3,K$2,الرصد!$C57:$Y57)/SUMIF(معالجة!$B$3:$X$3,K$2,معالجة!$B$4:$X$4),""))</f>
        <v/>
      </c>
      <c r="L57" s="51" t="str">
        <f>IF(OR(L$2="",COUNT(الرصد!$C57:$Y57)=0),"",IFERROR(SUMIF(معالجة!$B$3:$X$3,L$2,الرصد!$C57:$Y57)/SUMIF(معالجة!$B$3:$X$3,L$2,معالجة!$B$4:$X$4),""))</f>
        <v/>
      </c>
      <c r="M57" s="51" t="str">
        <f>IF(OR(M$2="",COUNT(الرصد!$C57:$Y57)=0),"",IFERROR(SUMIF(معالجة!$B$3:$X$3,M$2,الرصد!$C57:$Y57)/SUMIF(معالجة!$B$3:$X$3,M$2,معالجة!$B$4:$X$4),""))</f>
        <v/>
      </c>
      <c r="N57" s="51" t="str">
        <f>IF(OR(N$2="",COUNT(الرصد!$C57:$Y57)=0),"",IFERROR(SUMIF(معالجة!$B$3:$X$3,N$2,الرصد!$C57:$Y57)/SUMIF(معالجة!$B$3:$X$3,N$2,معالجة!$B$4:$X$4),""))</f>
        <v/>
      </c>
      <c r="O57" s="51" t="str">
        <f>IF(OR(O$2="",COUNT(الرصد!$C57:$Y57)=0),"",IFERROR(SUMIF(معالجة!$B$3:$X$3,O$2,الرصد!$C57:$Y57)/SUMIF(معالجة!$B$3:$X$3,O$2,معالجة!$B$4:$X$4),""))</f>
        <v/>
      </c>
      <c r="P57" s="51" t="str">
        <f>IF(OR(P$2="",COUNT(الرصد!$C57:$Y57)=0),"",IFERROR(SUMIF(معالجة!$B$3:$X$3,P$2,الرصد!$C57:$Y57)/SUMIF(معالجة!$B$3:$X$3,P$2,معالجة!$B$4:$X$4),""))</f>
        <v/>
      </c>
      <c r="Q57" s="51" t="str">
        <f>IF(OR(Q$2="",COUNT(الرصد!$C57:$Y57)=0),"",IFERROR(SUMIF(معالجة!$B$3:$X$3,Q$2,الرصد!$C57:$Y57)/SUMIF(معالجة!$B$3:$X$3,Q$2,معالجة!$B$4:$X$4),""))</f>
        <v/>
      </c>
      <c r="R57" s="51" t="str">
        <f>IF(OR(R$2="",COUNT(الرصد!$C57:$Y57)=0),"",IFERROR(SUMIF(معالجة!$B$3:$X$3,R$2,الرصد!$C57:$Y57)/SUMIF(معالجة!$B$3:$X$3,R$2,معالجة!$B$4:$X$4),""))</f>
        <v/>
      </c>
      <c r="S57" s="51" t="str">
        <f>IF(OR(S$2="",COUNT(الرصد!$C57:$Y57)=0),"",IFERROR(SUMIF(معالجة!$B$3:$X$3,S$2,الرصد!$C57:$Y57)/SUMIF(معالجة!$B$3:$X$3,S$2,معالجة!$B$4:$X$4),""))</f>
        <v/>
      </c>
      <c r="T57" s="51" t="str">
        <f>IF(OR(T$2="",COUNT(الرصد!$C57:$Y57)=0),"",IFERROR(SUMIF(معالجة!$B$3:$X$3,T$2,الرصد!$C57:$Y57)/SUMIF(معالجة!$B$3:$X$3,T$2,معالجة!$B$4:$X$4),""))</f>
        <v/>
      </c>
      <c r="U57" s="51" t="str">
        <f>IF(OR(U$2="",COUNT(الرصد!$C57:$Y57)=0),"",IFERROR(SUMIF(معالجة!$B$3:$X$3,U$2,الرصد!$C57:$Y57)/SUMIF(معالجة!$B$3:$X$3,U$2,معالجة!$B$4:$X$4),""))</f>
        <v/>
      </c>
      <c r="V57" s="51" t="str">
        <f>IF(OR(V$2="",COUNT(الرصد!$C57:$Y57)=0),"",IFERROR(SUMIF(معالجة!$B$3:$X$3,V$2,الرصد!$C57:$Y57)/SUMIF(معالجة!$B$3:$X$3,V$2,معالجة!$B$4:$X$4),""))</f>
        <v/>
      </c>
      <c r="W57" s="51" t="str">
        <f>IFERROR(C57/المهارات!$G$27,"")</f>
        <v/>
      </c>
    </row>
    <row r="58" spans="1:23" ht="14.25" customHeight="1">
      <c r="A58" s="46" t="s">
        <v>127</v>
      </c>
      <c r="B58" s="46" t="s">
        <v>19</v>
      </c>
      <c r="C58" s="52" t="str">
        <f>IF(COUNT(الرصد!C58:Y58)=0,"",SUM(الرصد!C58:Y58))</f>
        <v/>
      </c>
      <c r="D58" s="51" t="str">
        <f>IF(OR(D$2="",COUNT(الرصد!$C58:$Y58)=0),"",IFERROR(SUMIF(معالجة!$B$3:$X$3,D$2,الرصد!$C58:$Y58)/SUMIF(معالجة!$B$3:$X$3,D$2,معالجة!$B$4:$X$4),""))</f>
        <v/>
      </c>
      <c r="E58" s="51" t="str">
        <f>IF(OR(E$2="",COUNT(الرصد!$C58:$Y58)=0),"",IFERROR(SUMIF(معالجة!$B$3:$X$3,E$2,الرصد!$C58:$Y58)/SUMIF(معالجة!$B$3:$X$3,E$2,معالجة!$B$4:$X$4),""))</f>
        <v/>
      </c>
      <c r="F58" s="51" t="str">
        <f>IF(OR(F$2="",COUNT(الرصد!$C58:$Y58)=0),"",IFERROR(SUMIF(معالجة!$B$3:$X$3,F$2,الرصد!$C58:$Y58)/SUMIF(معالجة!$B$3:$X$3,F$2,معالجة!$B$4:$X$4),""))</f>
        <v/>
      </c>
      <c r="G58" s="51" t="str">
        <f>IF(OR(G$2="",COUNT(الرصد!$C58:$Y58)=0),"",IFERROR(SUMIF(معالجة!$B$3:$X$3,G$2,الرصد!$C58:$Y58)/SUMIF(معالجة!$B$3:$X$3,G$2,معالجة!$B$4:$X$4),""))</f>
        <v/>
      </c>
      <c r="H58" s="51" t="str">
        <f>IF(OR(H$2="",COUNT(الرصد!$C58:$Y58)=0),"",IFERROR(SUMIF(معالجة!$B$3:$X$3,H$2,الرصد!$C58:$Y58)/SUMIF(معالجة!$B$3:$X$3,H$2,معالجة!$B$4:$X$4),""))</f>
        <v/>
      </c>
      <c r="I58" s="51" t="str">
        <f>IF(OR(I$2="",COUNT(الرصد!$C58:$Y58)=0),"",IFERROR(SUMIF(معالجة!$B$3:$X$3,I$2,الرصد!$C58:$Y58)/SUMIF(معالجة!$B$3:$X$3,I$2,معالجة!$B$4:$X$4),""))</f>
        <v/>
      </c>
      <c r="J58" s="51" t="str">
        <f>IF(OR(J$2="",COUNT(الرصد!$C58:$Y58)=0),"",IFERROR(SUMIF(معالجة!$B$3:$X$3,J$2,الرصد!$C58:$Y58)/SUMIF(معالجة!$B$3:$X$3,J$2,معالجة!$B$4:$X$4),""))</f>
        <v/>
      </c>
      <c r="K58" s="51" t="str">
        <f>IF(OR(K$2="",COUNT(الرصد!$C58:$Y58)=0),"",IFERROR(SUMIF(معالجة!$B$3:$X$3,K$2,الرصد!$C58:$Y58)/SUMIF(معالجة!$B$3:$X$3,K$2,معالجة!$B$4:$X$4),""))</f>
        <v/>
      </c>
      <c r="L58" s="51" t="str">
        <f>IF(OR(L$2="",COUNT(الرصد!$C58:$Y58)=0),"",IFERROR(SUMIF(معالجة!$B$3:$X$3,L$2,الرصد!$C58:$Y58)/SUMIF(معالجة!$B$3:$X$3,L$2,معالجة!$B$4:$X$4),""))</f>
        <v/>
      </c>
      <c r="M58" s="51" t="str">
        <f>IF(OR(M$2="",COUNT(الرصد!$C58:$Y58)=0),"",IFERROR(SUMIF(معالجة!$B$3:$X$3,M$2,الرصد!$C58:$Y58)/SUMIF(معالجة!$B$3:$X$3,M$2,معالجة!$B$4:$X$4),""))</f>
        <v/>
      </c>
      <c r="N58" s="51" t="str">
        <f>IF(OR(N$2="",COUNT(الرصد!$C58:$Y58)=0),"",IFERROR(SUMIF(معالجة!$B$3:$X$3,N$2,الرصد!$C58:$Y58)/SUMIF(معالجة!$B$3:$X$3,N$2,معالجة!$B$4:$X$4),""))</f>
        <v/>
      </c>
      <c r="O58" s="51" t="str">
        <f>IF(OR(O$2="",COUNT(الرصد!$C58:$Y58)=0),"",IFERROR(SUMIF(معالجة!$B$3:$X$3,O$2,الرصد!$C58:$Y58)/SUMIF(معالجة!$B$3:$X$3,O$2,معالجة!$B$4:$X$4),""))</f>
        <v/>
      </c>
      <c r="P58" s="51" t="str">
        <f>IF(OR(P$2="",COUNT(الرصد!$C58:$Y58)=0),"",IFERROR(SUMIF(معالجة!$B$3:$X$3,P$2,الرصد!$C58:$Y58)/SUMIF(معالجة!$B$3:$X$3,P$2,معالجة!$B$4:$X$4),""))</f>
        <v/>
      </c>
      <c r="Q58" s="51" t="str">
        <f>IF(OR(Q$2="",COUNT(الرصد!$C58:$Y58)=0),"",IFERROR(SUMIF(معالجة!$B$3:$X$3,Q$2,الرصد!$C58:$Y58)/SUMIF(معالجة!$B$3:$X$3,Q$2,معالجة!$B$4:$X$4),""))</f>
        <v/>
      </c>
      <c r="R58" s="51" t="str">
        <f>IF(OR(R$2="",COUNT(الرصد!$C58:$Y58)=0),"",IFERROR(SUMIF(معالجة!$B$3:$X$3,R$2,الرصد!$C58:$Y58)/SUMIF(معالجة!$B$3:$X$3,R$2,معالجة!$B$4:$X$4),""))</f>
        <v/>
      </c>
      <c r="S58" s="51" t="str">
        <f>IF(OR(S$2="",COUNT(الرصد!$C58:$Y58)=0),"",IFERROR(SUMIF(معالجة!$B$3:$X$3,S$2,الرصد!$C58:$Y58)/SUMIF(معالجة!$B$3:$X$3,S$2,معالجة!$B$4:$X$4),""))</f>
        <v/>
      </c>
      <c r="T58" s="51" t="str">
        <f>IF(OR(T$2="",COUNT(الرصد!$C58:$Y58)=0),"",IFERROR(SUMIF(معالجة!$B$3:$X$3,T$2,الرصد!$C58:$Y58)/SUMIF(معالجة!$B$3:$X$3,T$2,معالجة!$B$4:$X$4),""))</f>
        <v/>
      </c>
      <c r="U58" s="51" t="str">
        <f>IF(OR(U$2="",COUNT(الرصد!$C58:$Y58)=0),"",IFERROR(SUMIF(معالجة!$B$3:$X$3,U$2,الرصد!$C58:$Y58)/SUMIF(معالجة!$B$3:$X$3,U$2,معالجة!$B$4:$X$4),""))</f>
        <v/>
      </c>
      <c r="V58" s="51" t="str">
        <f>IF(OR(V$2="",COUNT(الرصد!$C58:$Y58)=0),"",IFERROR(SUMIF(معالجة!$B$3:$X$3,V$2,الرصد!$C58:$Y58)/SUMIF(معالجة!$B$3:$X$3,V$2,معالجة!$B$4:$X$4),""))</f>
        <v/>
      </c>
      <c r="W58" s="51" t="str">
        <f>IFERROR(C58/المهارات!$G$27,"")</f>
        <v/>
      </c>
    </row>
    <row r="59" spans="1:23" ht="14.25" customHeight="1">
      <c r="A59" s="42" t="s">
        <v>128</v>
      </c>
      <c r="B59" s="42" t="s">
        <v>19</v>
      </c>
      <c r="C59" s="50" t="str">
        <f>IF(COUNT(الرصد!C59:Y59)=0,"",SUM(الرصد!C59:Y59))</f>
        <v/>
      </c>
      <c r="D59" s="51" t="str">
        <f>IF(OR(D$2="",COUNT(الرصد!$C59:$Y59)=0),"",IFERROR(SUMIF(معالجة!$B$3:$X$3,D$2,الرصد!$C59:$Y59)/SUMIF(معالجة!$B$3:$X$3,D$2,معالجة!$B$4:$X$4),""))</f>
        <v/>
      </c>
      <c r="E59" s="51" t="str">
        <f>IF(OR(E$2="",COUNT(الرصد!$C59:$Y59)=0),"",IFERROR(SUMIF(معالجة!$B$3:$X$3,E$2,الرصد!$C59:$Y59)/SUMIF(معالجة!$B$3:$X$3,E$2,معالجة!$B$4:$X$4),""))</f>
        <v/>
      </c>
      <c r="F59" s="51" t="str">
        <f>IF(OR(F$2="",COUNT(الرصد!$C59:$Y59)=0),"",IFERROR(SUMIF(معالجة!$B$3:$X$3,F$2,الرصد!$C59:$Y59)/SUMIF(معالجة!$B$3:$X$3,F$2,معالجة!$B$4:$X$4),""))</f>
        <v/>
      </c>
      <c r="G59" s="51" t="str">
        <f>IF(OR(G$2="",COUNT(الرصد!$C59:$Y59)=0),"",IFERROR(SUMIF(معالجة!$B$3:$X$3,G$2,الرصد!$C59:$Y59)/SUMIF(معالجة!$B$3:$X$3,G$2,معالجة!$B$4:$X$4),""))</f>
        <v/>
      </c>
      <c r="H59" s="51" t="str">
        <f>IF(OR(H$2="",COUNT(الرصد!$C59:$Y59)=0),"",IFERROR(SUMIF(معالجة!$B$3:$X$3,H$2,الرصد!$C59:$Y59)/SUMIF(معالجة!$B$3:$X$3,H$2,معالجة!$B$4:$X$4),""))</f>
        <v/>
      </c>
      <c r="I59" s="51" t="str">
        <f>IF(OR(I$2="",COUNT(الرصد!$C59:$Y59)=0),"",IFERROR(SUMIF(معالجة!$B$3:$X$3,I$2,الرصد!$C59:$Y59)/SUMIF(معالجة!$B$3:$X$3,I$2,معالجة!$B$4:$X$4),""))</f>
        <v/>
      </c>
      <c r="J59" s="51" t="str">
        <f>IF(OR(J$2="",COUNT(الرصد!$C59:$Y59)=0),"",IFERROR(SUMIF(معالجة!$B$3:$X$3,J$2,الرصد!$C59:$Y59)/SUMIF(معالجة!$B$3:$X$3,J$2,معالجة!$B$4:$X$4),""))</f>
        <v/>
      </c>
      <c r="K59" s="51" t="str">
        <f>IF(OR(K$2="",COUNT(الرصد!$C59:$Y59)=0),"",IFERROR(SUMIF(معالجة!$B$3:$X$3,K$2,الرصد!$C59:$Y59)/SUMIF(معالجة!$B$3:$X$3,K$2,معالجة!$B$4:$X$4),""))</f>
        <v/>
      </c>
      <c r="L59" s="51" t="str">
        <f>IF(OR(L$2="",COUNT(الرصد!$C59:$Y59)=0),"",IFERROR(SUMIF(معالجة!$B$3:$X$3,L$2,الرصد!$C59:$Y59)/SUMIF(معالجة!$B$3:$X$3,L$2,معالجة!$B$4:$X$4),""))</f>
        <v/>
      </c>
      <c r="M59" s="51" t="str">
        <f>IF(OR(M$2="",COUNT(الرصد!$C59:$Y59)=0),"",IFERROR(SUMIF(معالجة!$B$3:$X$3,M$2,الرصد!$C59:$Y59)/SUMIF(معالجة!$B$3:$X$3,M$2,معالجة!$B$4:$X$4),""))</f>
        <v/>
      </c>
      <c r="N59" s="51" t="str">
        <f>IF(OR(N$2="",COUNT(الرصد!$C59:$Y59)=0),"",IFERROR(SUMIF(معالجة!$B$3:$X$3,N$2,الرصد!$C59:$Y59)/SUMIF(معالجة!$B$3:$X$3,N$2,معالجة!$B$4:$X$4),""))</f>
        <v/>
      </c>
      <c r="O59" s="51" t="str">
        <f>IF(OR(O$2="",COUNT(الرصد!$C59:$Y59)=0),"",IFERROR(SUMIF(معالجة!$B$3:$X$3,O$2,الرصد!$C59:$Y59)/SUMIF(معالجة!$B$3:$X$3,O$2,معالجة!$B$4:$X$4),""))</f>
        <v/>
      </c>
      <c r="P59" s="51" t="str">
        <f>IF(OR(P$2="",COUNT(الرصد!$C59:$Y59)=0),"",IFERROR(SUMIF(معالجة!$B$3:$X$3,P$2,الرصد!$C59:$Y59)/SUMIF(معالجة!$B$3:$X$3,P$2,معالجة!$B$4:$X$4),""))</f>
        <v/>
      </c>
      <c r="Q59" s="51" t="str">
        <f>IF(OR(Q$2="",COUNT(الرصد!$C59:$Y59)=0),"",IFERROR(SUMIF(معالجة!$B$3:$X$3,Q$2,الرصد!$C59:$Y59)/SUMIF(معالجة!$B$3:$X$3,Q$2,معالجة!$B$4:$X$4),""))</f>
        <v/>
      </c>
      <c r="R59" s="51" t="str">
        <f>IF(OR(R$2="",COUNT(الرصد!$C59:$Y59)=0),"",IFERROR(SUMIF(معالجة!$B$3:$X$3,R$2,الرصد!$C59:$Y59)/SUMIF(معالجة!$B$3:$X$3,R$2,معالجة!$B$4:$X$4),""))</f>
        <v/>
      </c>
      <c r="S59" s="51" t="str">
        <f>IF(OR(S$2="",COUNT(الرصد!$C59:$Y59)=0),"",IFERROR(SUMIF(معالجة!$B$3:$X$3,S$2,الرصد!$C59:$Y59)/SUMIF(معالجة!$B$3:$X$3,S$2,معالجة!$B$4:$X$4),""))</f>
        <v/>
      </c>
      <c r="T59" s="51" t="str">
        <f>IF(OR(T$2="",COUNT(الرصد!$C59:$Y59)=0),"",IFERROR(SUMIF(معالجة!$B$3:$X$3,T$2,الرصد!$C59:$Y59)/SUMIF(معالجة!$B$3:$X$3,T$2,معالجة!$B$4:$X$4),""))</f>
        <v/>
      </c>
      <c r="U59" s="51" t="str">
        <f>IF(OR(U$2="",COUNT(الرصد!$C59:$Y59)=0),"",IFERROR(SUMIF(معالجة!$B$3:$X$3,U$2,الرصد!$C59:$Y59)/SUMIF(معالجة!$B$3:$X$3,U$2,معالجة!$B$4:$X$4),""))</f>
        <v/>
      </c>
      <c r="V59" s="51" t="str">
        <f>IF(OR(V$2="",COUNT(الرصد!$C59:$Y59)=0),"",IFERROR(SUMIF(معالجة!$B$3:$X$3,V$2,الرصد!$C59:$Y59)/SUMIF(معالجة!$B$3:$X$3,V$2,معالجة!$B$4:$X$4),""))</f>
        <v/>
      </c>
      <c r="W59" s="51" t="str">
        <f>IFERROR(C59/المهارات!$G$27,"")</f>
        <v/>
      </c>
    </row>
    <row r="60" spans="1:23" ht="14.25" customHeight="1">
      <c r="A60" s="46" t="s">
        <v>129</v>
      </c>
      <c r="B60" s="46" t="s">
        <v>19</v>
      </c>
      <c r="C60" s="52" t="str">
        <f>IF(COUNT(الرصد!C60:Y60)=0,"",SUM(الرصد!C60:Y60))</f>
        <v/>
      </c>
      <c r="D60" s="51" t="str">
        <f>IF(OR(D$2="",COUNT(الرصد!$C60:$Y60)=0),"",IFERROR(SUMIF(معالجة!$B$3:$X$3,D$2,الرصد!$C60:$Y60)/SUMIF(معالجة!$B$3:$X$3,D$2,معالجة!$B$4:$X$4),""))</f>
        <v/>
      </c>
      <c r="E60" s="51" t="str">
        <f>IF(OR(E$2="",COUNT(الرصد!$C60:$Y60)=0),"",IFERROR(SUMIF(معالجة!$B$3:$X$3,E$2,الرصد!$C60:$Y60)/SUMIF(معالجة!$B$3:$X$3,E$2,معالجة!$B$4:$X$4),""))</f>
        <v/>
      </c>
      <c r="F60" s="51" t="str">
        <f>IF(OR(F$2="",COUNT(الرصد!$C60:$Y60)=0),"",IFERROR(SUMIF(معالجة!$B$3:$X$3,F$2,الرصد!$C60:$Y60)/SUMIF(معالجة!$B$3:$X$3,F$2,معالجة!$B$4:$X$4),""))</f>
        <v/>
      </c>
      <c r="G60" s="51" t="str">
        <f>IF(OR(G$2="",COUNT(الرصد!$C60:$Y60)=0),"",IFERROR(SUMIF(معالجة!$B$3:$X$3,G$2,الرصد!$C60:$Y60)/SUMIF(معالجة!$B$3:$X$3,G$2,معالجة!$B$4:$X$4),""))</f>
        <v/>
      </c>
      <c r="H60" s="51" t="str">
        <f>IF(OR(H$2="",COUNT(الرصد!$C60:$Y60)=0),"",IFERROR(SUMIF(معالجة!$B$3:$X$3,H$2,الرصد!$C60:$Y60)/SUMIF(معالجة!$B$3:$X$3,H$2,معالجة!$B$4:$X$4),""))</f>
        <v/>
      </c>
      <c r="I60" s="51" t="str">
        <f>IF(OR(I$2="",COUNT(الرصد!$C60:$Y60)=0),"",IFERROR(SUMIF(معالجة!$B$3:$X$3,I$2,الرصد!$C60:$Y60)/SUMIF(معالجة!$B$3:$X$3,I$2,معالجة!$B$4:$X$4),""))</f>
        <v/>
      </c>
      <c r="J60" s="51" t="str">
        <f>IF(OR(J$2="",COUNT(الرصد!$C60:$Y60)=0),"",IFERROR(SUMIF(معالجة!$B$3:$X$3,J$2,الرصد!$C60:$Y60)/SUMIF(معالجة!$B$3:$X$3,J$2,معالجة!$B$4:$X$4),""))</f>
        <v/>
      </c>
      <c r="K60" s="51" t="str">
        <f>IF(OR(K$2="",COUNT(الرصد!$C60:$Y60)=0),"",IFERROR(SUMIF(معالجة!$B$3:$X$3,K$2,الرصد!$C60:$Y60)/SUMIF(معالجة!$B$3:$X$3,K$2,معالجة!$B$4:$X$4),""))</f>
        <v/>
      </c>
      <c r="L60" s="51" t="str">
        <f>IF(OR(L$2="",COUNT(الرصد!$C60:$Y60)=0),"",IFERROR(SUMIF(معالجة!$B$3:$X$3,L$2,الرصد!$C60:$Y60)/SUMIF(معالجة!$B$3:$X$3,L$2,معالجة!$B$4:$X$4),""))</f>
        <v/>
      </c>
      <c r="M60" s="51" t="str">
        <f>IF(OR(M$2="",COUNT(الرصد!$C60:$Y60)=0),"",IFERROR(SUMIF(معالجة!$B$3:$X$3,M$2,الرصد!$C60:$Y60)/SUMIF(معالجة!$B$3:$X$3,M$2,معالجة!$B$4:$X$4),""))</f>
        <v/>
      </c>
      <c r="N60" s="51" t="str">
        <f>IF(OR(N$2="",COUNT(الرصد!$C60:$Y60)=0),"",IFERROR(SUMIF(معالجة!$B$3:$X$3,N$2,الرصد!$C60:$Y60)/SUMIF(معالجة!$B$3:$X$3,N$2,معالجة!$B$4:$X$4),""))</f>
        <v/>
      </c>
      <c r="O60" s="51" t="str">
        <f>IF(OR(O$2="",COUNT(الرصد!$C60:$Y60)=0),"",IFERROR(SUMIF(معالجة!$B$3:$X$3,O$2,الرصد!$C60:$Y60)/SUMIF(معالجة!$B$3:$X$3,O$2,معالجة!$B$4:$X$4),""))</f>
        <v/>
      </c>
      <c r="P60" s="51" t="str">
        <f>IF(OR(P$2="",COUNT(الرصد!$C60:$Y60)=0),"",IFERROR(SUMIF(معالجة!$B$3:$X$3,P$2,الرصد!$C60:$Y60)/SUMIF(معالجة!$B$3:$X$3,P$2,معالجة!$B$4:$X$4),""))</f>
        <v/>
      </c>
      <c r="Q60" s="51" t="str">
        <f>IF(OR(Q$2="",COUNT(الرصد!$C60:$Y60)=0),"",IFERROR(SUMIF(معالجة!$B$3:$X$3,Q$2,الرصد!$C60:$Y60)/SUMIF(معالجة!$B$3:$X$3,Q$2,معالجة!$B$4:$X$4),""))</f>
        <v/>
      </c>
      <c r="R60" s="51" t="str">
        <f>IF(OR(R$2="",COUNT(الرصد!$C60:$Y60)=0),"",IFERROR(SUMIF(معالجة!$B$3:$X$3,R$2,الرصد!$C60:$Y60)/SUMIF(معالجة!$B$3:$X$3,R$2,معالجة!$B$4:$X$4),""))</f>
        <v/>
      </c>
      <c r="S60" s="51" t="str">
        <f>IF(OR(S$2="",COUNT(الرصد!$C60:$Y60)=0),"",IFERROR(SUMIF(معالجة!$B$3:$X$3,S$2,الرصد!$C60:$Y60)/SUMIF(معالجة!$B$3:$X$3,S$2,معالجة!$B$4:$X$4),""))</f>
        <v/>
      </c>
      <c r="T60" s="51" t="str">
        <f>IF(OR(T$2="",COUNT(الرصد!$C60:$Y60)=0),"",IFERROR(SUMIF(معالجة!$B$3:$X$3,T$2,الرصد!$C60:$Y60)/SUMIF(معالجة!$B$3:$X$3,T$2,معالجة!$B$4:$X$4),""))</f>
        <v/>
      </c>
      <c r="U60" s="51" t="str">
        <f>IF(OR(U$2="",COUNT(الرصد!$C60:$Y60)=0),"",IFERROR(SUMIF(معالجة!$B$3:$X$3,U$2,الرصد!$C60:$Y60)/SUMIF(معالجة!$B$3:$X$3,U$2,معالجة!$B$4:$X$4),""))</f>
        <v/>
      </c>
      <c r="V60" s="51" t="str">
        <f>IF(OR(V$2="",COUNT(الرصد!$C60:$Y60)=0),"",IFERROR(SUMIF(معالجة!$B$3:$X$3,V$2,الرصد!$C60:$Y60)/SUMIF(معالجة!$B$3:$X$3,V$2,معالجة!$B$4:$X$4),""))</f>
        <v/>
      </c>
      <c r="W60" s="51" t="str">
        <f>IFERROR(C60/المهارات!$G$27,"")</f>
        <v/>
      </c>
    </row>
    <row r="61" spans="1:23" ht="14.25" customHeight="1">
      <c r="A61" s="42" t="s">
        <v>130</v>
      </c>
      <c r="B61" s="42" t="s">
        <v>19</v>
      </c>
      <c r="C61" s="50" t="str">
        <f>IF(COUNT(الرصد!C61:Y61)=0,"",SUM(الرصد!C61:Y61))</f>
        <v/>
      </c>
      <c r="D61" s="51" t="str">
        <f>IF(OR(D$2="",COUNT(الرصد!$C61:$Y61)=0),"",IFERROR(SUMIF(معالجة!$B$3:$X$3,D$2,الرصد!$C61:$Y61)/SUMIF(معالجة!$B$3:$X$3,D$2,معالجة!$B$4:$X$4),""))</f>
        <v/>
      </c>
      <c r="E61" s="51" t="str">
        <f>IF(OR(E$2="",COUNT(الرصد!$C61:$Y61)=0),"",IFERROR(SUMIF(معالجة!$B$3:$X$3,E$2,الرصد!$C61:$Y61)/SUMIF(معالجة!$B$3:$X$3,E$2,معالجة!$B$4:$X$4),""))</f>
        <v/>
      </c>
      <c r="F61" s="51" t="str">
        <f>IF(OR(F$2="",COUNT(الرصد!$C61:$Y61)=0),"",IFERROR(SUMIF(معالجة!$B$3:$X$3,F$2,الرصد!$C61:$Y61)/SUMIF(معالجة!$B$3:$X$3,F$2,معالجة!$B$4:$X$4),""))</f>
        <v/>
      </c>
      <c r="G61" s="51" t="str">
        <f>IF(OR(G$2="",COUNT(الرصد!$C61:$Y61)=0),"",IFERROR(SUMIF(معالجة!$B$3:$X$3,G$2,الرصد!$C61:$Y61)/SUMIF(معالجة!$B$3:$X$3,G$2,معالجة!$B$4:$X$4),""))</f>
        <v/>
      </c>
      <c r="H61" s="51" t="str">
        <f>IF(OR(H$2="",COUNT(الرصد!$C61:$Y61)=0),"",IFERROR(SUMIF(معالجة!$B$3:$X$3,H$2,الرصد!$C61:$Y61)/SUMIF(معالجة!$B$3:$X$3,H$2,معالجة!$B$4:$X$4),""))</f>
        <v/>
      </c>
      <c r="I61" s="51" t="str">
        <f>IF(OR(I$2="",COUNT(الرصد!$C61:$Y61)=0),"",IFERROR(SUMIF(معالجة!$B$3:$X$3,I$2,الرصد!$C61:$Y61)/SUMIF(معالجة!$B$3:$X$3,I$2,معالجة!$B$4:$X$4),""))</f>
        <v/>
      </c>
      <c r="J61" s="51" t="str">
        <f>IF(OR(J$2="",COUNT(الرصد!$C61:$Y61)=0),"",IFERROR(SUMIF(معالجة!$B$3:$X$3,J$2,الرصد!$C61:$Y61)/SUMIF(معالجة!$B$3:$X$3,J$2,معالجة!$B$4:$X$4),""))</f>
        <v/>
      </c>
      <c r="K61" s="51" t="str">
        <f>IF(OR(K$2="",COUNT(الرصد!$C61:$Y61)=0),"",IFERROR(SUMIF(معالجة!$B$3:$X$3,K$2,الرصد!$C61:$Y61)/SUMIF(معالجة!$B$3:$X$3,K$2,معالجة!$B$4:$X$4),""))</f>
        <v/>
      </c>
      <c r="L61" s="51" t="str">
        <f>IF(OR(L$2="",COUNT(الرصد!$C61:$Y61)=0),"",IFERROR(SUMIF(معالجة!$B$3:$X$3,L$2,الرصد!$C61:$Y61)/SUMIF(معالجة!$B$3:$X$3,L$2,معالجة!$B$4:$X$4),""))</f>
        <v/>
      </c>
      <c r="M61" s="51" t="str">
        <f>IF(OR(M$2="",COUNT(الرصد!$C61:$Y61)=0),"",IFERROR(SUMIF(معالجة!$B$3:$X$3,M$2,الرصد!$C61:$Y61)/SUMIF(معالجة!$B$3:$X$3,M$2,معالجة!$B$4:$X$4),""))</f>
        <v/>
      </c>
      <c r="N61" s="51" t="str">
        <f>IF(OR(N$2="",COUNT(الرصد!$C61:$Y61)=0),"",IFERROR(SUMIF(معالجة!$B$3:$X$3,N$2,الرصد!$C61:$Y61)/SUMIF(معالجة!$B$3:$X$3,N$2,معالجة!$B$4:$X$4),""))</f>
        <v/>
      </c>
      <c r="O61" s="51" t="str">
        <f>IF(OR(O$2="",COUNT(الرصد!$C61:$Y61)=0),"",IFERROR(SUMIF(معالجة!$B$3:$X$3,O$2,الرصد!$C61:$Y61)/SUMIF(معالجة!$B$3:$X$3,O$2,معالجة!$B$4:$X$4),""))</f>
        <v/>
      </c>
      <c r="P61" s="51" t="str">
        <f>IF(OR(P$2="",COUNT(الرصد!$C61:$Y61)=0),"",IFERROR(SUMIF(معالجة!$B$3:$X$3,P$2,الرصد!$C61:$Y61)/SUMIF(معالجة!$B$3:$X$3,P$2,معالجة!$B$4:$X$4),""))</f>
        <v/>
      </c>
      <c r="Q61" s="51" t="str">
        <f>IF(OR(Q$2="",COUNT(الرصد!$C61:$Y61)=0),"",IFERROR(SUMIF(معالجة!$B$3:$X$3,Q$2,الرصد!$C61:$Y61)/SUMIF(معالجة!$B$3:$X$3,Q$2,معالجة!$B$4:$X$4),""))</f>
        <v/>
      </c>
      <c r="R61" s="51" t="str">
        <f>IF(OR(R$2="",COUNT(الرصد!$C61:$Y61)=0),"",IFERROR(SUMIF(معالجة!$B$3:$X$3,R$2,الرصد!$C61:$Y61)/SUMIF(معالجة!$B$3:$X$3,R$2,معالجة!$B$4:$X$4),""))</f>
        <v/>
      </c>
      <c r="S61" s="51" t="str">
        <f>IF(OR(S$2="",COUNT(الرصد!$C61:$Y61)=0),"",IFERROR(SUMIF(معالجة!$B$3:$X$3,S$2,الرصد!$C61:$Y61)/SUMIF(معالجة!$B$3:$X$3,S$2,معالجة!$B$4:$X$4),""))</f>
        <v/>
      </c>
      <c r="T61" s="51" t="str">
        <f>IF(OR(T$2="",COUNT(الرصد!$C61:$Y61)=0),"",IFERROR(SUMIF(معالجة!$B$3:$X$3,T$2,الرصد!$C61:$Y61)/SUMIF(معالجة!$B$3:$X$3,T$2,معالجة!$B$4:$X$4),""))</f>
        <v/>
      </c>
      <c r="U61" s="51" t="str">
        <f>IF(OR(U$2="",COUNT(الرصد!$C61:$Y61)=0),"",IFERROR(SUMIF(معالجة!$B$3:$X$3,U$2,الرصد!$C61:$Y61)/SUMIF(معالجة!$B$3:$X$3,U$2,معالجة!$B$4:$X$4),""))</f>
        <v/>
      </c>
      <c r="V61" s="51" t="str">
        <f>IF(OR(V$2="",COUNT(الرصد!$C61:$Y61)=0),"",IFERROR(SUMIF(معالجة!$B$3:$X$3,V$2,الرصد!$C61:$Y61)/SUMIF(معالجة!$B$3:$X$3,V$2,معالجة!$B$4:$X$4),""))</f>
        <v/>
      </c>
      <c r="W61" s="51" t="str">
        <f>IFERROR(C61/المهارات!$G$27,"")</f>
        <v/>
      </c>
    </row>
    <row r="62" spans="1:23" ht="14.25" customHeight="1">
      <c r="A62" s="46" t="s">
        <v>131</v>
      </c>
      <c r="B62" s="46" t="s">
        <v>19</v>
      </c>
      <c r="C62" s="52" t="str">
        <f>IF(COUNT(الرصد!C62:Y62)=0,"",SUM(الرصد!C62:Y62))</f>
        <v/>
      </c>
      <c r="D62" s="51" t="str">
        <f>IF(OR(D$2="",COUNT(الرصد!$C62:$Y62)=0),"",IFERROR(SUMIF(معالجة!$B$3:$X$3,D$2,الرصد!$C62:$Y62)/SUMIF(معالجة!$B$3:$X$3,D$2,معالجة!$B$4:$X$4),""))</f>
        <v/>
      </c>
      <c r="E62" s="51" t="str">
        <f>IF(OR(E$2="",COUNT(الرصد!$C62:$Y62)=0),"",IFERROR(SUMIF(معالجة!$B$3:$X$3,E$2,الرصد!$C62:$Y62)/SUMIF(معالجة!$B$3:$X$3,E$2,معالجة!$B$4:$X$4),""))</f>
        <v/>
      </c>
      <c r="F62" s="51" t="str">
        <f>IF(OR(F$2="",COUNT(الرصد!$C62:$Y62)=0),"",IFERROR(SUMIF(معالجة!$B$3:$X$3,F$2,الرصد!$C62:$Y62)/SUMIF(معالجة!$B$3:$X$3,F$2,معالجة!$B$4:$X$4),""))</f>
        <v/>
      </c>
      <c r="G62" s="51" t="str">
        <f>IF(OR(G$2="",COUNT(الرصد!$C62:$Y62)=0),"",IFERROR(SUMIF(معالجة!$B$3:$X$3,G$2,الرصد!$C62:$Y62)/SUMIF(معالجة!$B$3:$X$3,G$2,معالجة!$B$4:$X$4),""))</f>
        <v/>
      </c>
      <c r="H62" s="51" t="str">
        <f>IF(OR(H$2="",COUNT(الرصد!$C62:$Y62)=0),"",IFERROR(SUMIF(معالجة!$B$3:$X$3,H$2,الرصد!$C62:$Y62)/SUMIF(معالجة!$B$3:$X$3,H$2,معالجة!$B$4:$X$4),""))</f>
        <v/>
      </c>
      <c r="I62" s="51" t="str">
        <f>IF(OR(I$2="",COUNT(الرصد!$C62:$Y62)=0),"",IFERROR(SUMIF(معالجة!$B$3:$X$3,I$2,الرصد!$C62:$Y62)/SUMIF(معالجة!$B$3:$X$3,I$2,معالجة!$B$4:$X$4),""))</f>
        <v/>
      </c>
      <c r="J62" s="51" t="str">
        <f>IF(OR(J$2="",COUNT(الرصد!$C62:$Y62)=0),"",IFERROR(SUMIF(معالجة!$B$3:$X$3,J$2,الرصد!$C62:$Y62)/SUMIF(معالجة!$B$3:$X$3,J$2,معالجة!$B$4:$X$4),""))</f>
        <v/>
      </c>
      <c r="K62" s="51" t="str">
        <f>IF(OR(K$2="",COUNT(الرصد!$C62:$Y62)=0),"",IFERROR(SUMIF(معالجة!$B$3:$X$3,K$2,الرصد!$C62:$Y62)/SUMIF(معالجة!$B$3:$X$3,K$2,معالجة!$B$4:$X$4),""))</f>
        <v/>
      </c>
      <c r="L62" s="51" t="str">
        <f>IF(OR(L$2="",COUNT(الرصد!$C62:$Y62)=0),"",IFERROR(SUMIF(معالجة!$B$3:$X$3,L$2,الرصد!$C62:$Y62)/SUMIF(معالجة!$B$3:$X$3,L$2,معالجة!$B$4:$X$4),""))</f>
        <v/>
      </c>
      <c r="M62" s="51" t="str">
        <f>IF(OR(M$2="",COUNT(الرصد!$C62:$Y62)=0),"",IFERROR(SUMIF(معالجة!$B$3:$X$3,M$2,الرصد!$C62:$Y62)/SUMIF(معالجة!$B$3:$X$3,M$2,معالجة!$B$4:$X$4),""))</f>
        <v/>
      </c>
      <c r="N62" s="51" t="str">
        <f>IF(OR(N$2="",COUNT(الرصد!$C62:$Y62)=0),"",IFERROR(SUMIF(معالجة!$B$3:$X$3,N$2,الرصد!$C62:$Y62)/SUMIF(معالجة!$B$3:$X$3,N$2,معالجة!$B$4:$X$4),""))</f>
        <v/>
      </c>
      <c r="O62" s="51" t="str">
        <f>IF(OR(O$2="",COUNT(الرصد!$C62:$Y62)=0),"",IFERROR(SUMIF(معالجة!$B$3:$X$3,O$2,الرصد!$C62:$Y62)/SUMIF(معالجة!$B$3:$X$3,O$2,معالجة!$B$4:$X$4),""))</f>
        <v/>
      </c>
      <c r="P62" s="51" t="str">
        <f>IF(OR(P$2="",COUNT(الرصد!$C62:$Y62)=0),"",IFERROR(SUMIF(معالجة!$B$3:$X$3,P$2,الرصد!$C62:$Y62)/SUMIF(معالجة!$B$3:$X$3,P$2,معالجة!$B$4:$X$4),""))</f>
        <v/>
      </c>
      <c r="Q62" s="51" t="str">
        <f>IF(OR(Q$2="",COUNT(الرصد!$C62:$Y62)=0),"",IFERROR(SUMIF(معالجة!$B$3:$X$3,Q$2,الرصد!$C62:$Y62)/SUMIF(معالجة!$B$3:$X$3,Q$2,معالجة!$B$4:$X$4),""))</f>
        <v/>
      </c>
      <c r="R62" s="51" t="str">
        <f>IF(OR(R$2="",COUNT(الرصد!$C62:$Y62)=0),"",IFERROR(SUMIF(معالجة!$B$3:$X$3,R$2,الرصد!$C62:$Y62)/SUMIF(معالجة!$B$3:$X$3,R$2,معالجة!$B$4:$X$4),""))</f>
        <v/>
      </c>
      <c r="S62" s="51" t="str">
        <f>IF(OR(S$2="",COUNT(الرصد!$C62:$Y62)=0),"",IFERROR(SUMIF(معالجة!$B$3:$X$3,S$2,الرصد!$C62:$Y62)/SUMIF(معالجة!$B$3:$X$3,S$2,معالجة!$B$4:$X$4),""))</f>
        <v/>
      </c>
      <c r="T62" s="51" t="str">
        <f>IF(OR(T$2="",COUNT(الرصد!$C62:$Y62)=0),"",IFERROR(SUMIF(معالجة!$B$3:$X$3,T$2,الرصد!$C62:$Y62)/SUMIF(معالجة!$B$3:$X$3,T$2,معالجة!$B$4:$X$4),""))</f>
        <v/>
      </c>
      <c r="U62" s="51" t="str">
        <f>IF(OR(U$2="",COUNT(الرصد!$C62:$Y62)=0),"",IFERROR(SUMIF(معالجة!$B$3:$X$3,U$2,الرصد!$C62:$Y62)/SUMIF(معالجة!$B$3:$X$3,U$2,معالجة!$B$4:$X$4),""))</f>
        <v/>
      </c>
      <c r="V62" s="51" t="str">
        <f>IF(OR(V$2="",COUNT(الرصد!$C62:$Y62)=0),"",IFERROR(SUMIF(معالجة!$B$3:$X$3,V$2,الرصد!$C62:$Y62)/SUMIF(معالجة!$B$3:$X$3,V$2,معالجة!$B$4:$X$4),""))</f>
        <v/>
      </c>
      <c r="W62" s="51" t="str">
        <f>IFERROR(C62/المهارات!$G$27,"")</f>
        <v/>
      </c>
    </row>
    <row r="63" spans="1:23" ht="14.25" customHeight="1">
      <c r="A63" s="42" t="s">
        <v>132</v>
      </c>
      <c r="B63" s="42" t="s">
        <v>19</v>
      </c>
      <c r="C63" s="50" t="str">
        <f>IF(COUNT(الرصد!C63:Y63)=0,"",SUM(الرصد!C63:Y63))</f>
        <v/>
      </c>
      <c r="D63" s="51" t="str">
        <f>IF(OR(D$2="",COUNT(الرصد!$C63:$Y63)=0),"",IFERROR(SUMIF(معالجة!$B$3:$X$3,D$2,الرصد!$C63:$Y63)/SUMIF(معالجة!$B$3:$X$3,D$2,معالجة!$B$4:$X$4),""))</f>
        <v/>
      </c>
      <c r="E63" s="51" t="str">
        <f>IF(OR(E$2="",COUNT(الرصد!$C63:$Y63)=0),"",IFERROR(SUMIF(معالجة!$B$3:$X$3,E$2,الرصد!$C63:$Y63)/SUMIF(معالجة!$B$3:$X$3,E$2,معالجة!$B$4:$X$4),""))</f>
        <v/>
      </c>
      <c r="F63" s="51" t="str">
        <f>IF(OR(F$2="",COUNT(الرصد!$C63:$Y63)=0),"",IFERROR(SUMIF(معالجة!$B$3:$X$3,F$2,الرصد!$C63:$Y63)/SUMIF(معالجة!$B$3:$X$3,F$2,معالجة!$B$4:$X$4),""))</f>
        <v/>
      </c>
      <c r="G63" s="51" t="str">
        <f>IF(OR(G$2="",COUNT(الرصد!$C63:$Y63)=0),"",IFERROR(SUMIF(معالجة!$B$3:$X$3,G$2,الرصد!$C63:$Y63)/SUMIF(معالجة!$B$3:$X$3,G$2,معالجة!$B$4:$X$4),""))</f>
        <v/>
      </c>
      <c r="H63" s="51" t="str">
        <f>IF(OR(H$2="",COUNT(الرصد!$C63:$Y63)=0),"",IFERROR(SUMIF(معالجة!$B$3:$X$3,H$2,الرصد!$C63:$Y63)/SUMIF(معالجة!$B$3:$X$3,H$2,معالجة!$B$4:$X$4),""))</f>
        <v/>
      </c>
      <c r="I63" s="51" t="str">
        <f>IF(OR(I$2="",COUNT(الرصد!$C63:$Y63)=0),"",IFERROR(SUMIF(معالجة!$B$3:$X$3,I$2,الرصد!$C63:$Y63)/SUMIF(معالجة!$B$3:$X$3,I$2,معالجة!$B$4:$X$4),""))</f>
        <v/>
      </c>
      <c r="J63" s="51" t="str">
        <f>IF(OR(J$2="",COUNT(الرصد!$C63:$Y63)=0),"",IFERROR(SUMIF(معالجة!$B$3:$X$3,J$2,الرصد!$C63:$Y63)/SUMIF(معالجة!$B$3:$X$3,J$2,معالجة!$B$4:$X$4),""))</f>
        <v/>
      </c>
      <c r="K63" s="51" t="str">
        <f>IF(OR(K$2="",COUNT(الرصد!$C63:$Y63)=0),"",IFERROR(SUMIF(معالجة!$B$3:$X$3,K$2,الرصد!$C63:$Y63)/SUMIF(معالجة!$B$3:$X$3,K$2,معالجة!$B$4:$X$4),""))</f>
        <v/>
      </c>
      <c r="L63" s="51" t="str">
        <f>IF(OR(L$2="",COUNT(الرصد!$C63:$Y63)=0),"",IFERROR(SUMIF(معالجة!$B$3:$X$3,L$2,الرصد!$C63:$Y63)/SUMIF(معالجة!$B$3:$X$3,L$2,معالجة!$B$4:$X$4),""))</f>
        <v/>
      </c>
      <c r="M63" s="51" t="str">
        <f>IF(OR(M$2="",COUNT(الرصد!$C63:$Y63)=0),"",IFERROR(SUMIF(معالجة!$B$3:$X$3,M$2,الرصد!$C63:$Y63)/SUMIF(معالجة!$B$3:$X$3,M$2,معالجة!$B$4:$X$4),""))</f>
        <v/>
      </c>
      <c r="N63" s="51" t="str">
        <f>IF(OR(N$2="",COUNT(الرصد!$C63:$Y63)=0),"",IFERROR(SUMIF(معالجة!$B$3:$X$3,N$2,الرصد!$C63:$Y63)/SUMIF(معالجة!$B$3:$X$3,N$2,معالجة!$B$4:$X$4),""))</f>
        <v/>
      </c>
      <c r="O63" s="51" t="str">
        <f>IF(OR(O$2="",COUNT(الرصد!$C63:$Y63)=0),"",IFERROR(SUMIF(معالجة!$B$3:$X$3,O$2,الرصد!$C63:$Y63)/SUMIF(معالجة!$B$3:$X$3,O$2,معالجة!$B$4:$X$4),""))</f>
        <v/>
      </c>
      <c r="P63" s="51" t="str">
        <f>IF(OR(P$2="",COUNT(الرصد!$C63:$Y63)=0),"",IFERROR(SUMIF(معالجة!$B$3:$X$3,P$2,الرصد!$C63:$Y63)/SUMIF(معالجة!$B$3:$X$3,P$2,معالجة!$B$4:$X$4),""))</f>
        <v/>
      </c>
      <c r="Q63" s="51" t="str">
        <f>IF(OR(Q$2="",COUNT(الرصد!$C63:$Y63)=0),"",IFERROR(SUMIF(معالجة!$B$3:$X$3,Q$2,الرصد!$C63:$Y63)/SUMIF(معالجة!$B$3:$X$3,Q$2,معالجة!$B$4:$X$4),""))</f>
        <v/>
      </c>
      <c r="R63" s="51" t="str">
        <f>IF(OR(R$2="",COUNT(الرصد!$C63:$Y63)=0),"",IFERROR(SUMIF(معالجة!$B$3:$X$3,R$2,الرصد!$C63:$Y63)/SUMIF(معالجة!$B$3:$X$3,R$2,معالجة!$B$4:$X$4),""))</f>
        <v/>
      </c>
      <c r="S63" s="51" t="str">
        <f>IF(OR(S$2="",COUNT(الرصد!$C63:$Y63)=0),"",IFERROR(SUMIF(معالجة!$B$3:$X$3,S$2,الرصد!$C63:$Y63)/SUMIF(معالجة!$B$3:$X$3,S$2,معالجة!$B$4:$X$4),""))</f>
        <v/>
      </c>
      <c r="T63" s="51" t="str">
        <f>IF(OR(T$2="",COUNT(الرصد!$C63:$Y63)=0),"",IFERROR(SUMIF(معالجة!$B$3:$X$3,T$2,الرصد!$C63:$Y63)/SUMIF(معالجة!$B$3:$X$3,T$2,معالجة!$B$4:$X$4),""))</f>
        <v/>
      </c>
      <c r="U63" s="51" t="str">
        <f>IF(OR(U$2="",COUNT(الرصد!$C63:$Y63)=0),"",IFERROR(SUMIF(معالجة!$B$3:$X$3,U$2,الرصد!$C63:$Y63)/SUMIF(معالجة!$B$3:$X$3,U$2,معالجة!$B$4:$X$4),""))</f>
        <v/>
      </c>
      <c r="V63" s="51" t="str">
        <f>IF(OR(V$2="",COUNT(الرصد!$C63:$Y63)=0),"",IFERROR(SUMIF(معالجة!$B$3:$X$3,V$2,الرصد!$C63:$Y63)/SUMIF(معالجة!$B$3:$X$3,V$2,معالجة!$B$4:$X$4),""))</f>
        <v/>
      </c>
      <c r="W63" s="51" t="str">
        <f>IFERROR(C63/المهارات!$G$27,"")</f>
        <v/>
      </c>
    </row>
    <row r="64" spans="1:23" ht="14.25" customHeight="1">
      <c r="A64" s="46" t="s">
        <v>133</v>
      </c>
      <c r="B64" s="46" t="s">
        <v>19</v>
      </c>
      <c r="C64" s="52" t="str">
        <f>IF(COUNT(الرصد!C64:Y64)=0,"",SUM(الرصد!C64:Y64))</f>
        <v/>
      </c>
      <c r="D64" s="51" t="str">
        <f>IF(OR(D$2="",COUNT(الرصد!$C64:$Y64)=0),"",IFERROR(SUMIF(معالجة!$B$3:$X$3,D$2,الرصد!$C64:$Y64)/SUMIF(معالجة!$B$3:$X$3,D$2,معالجة!$B$4:$X$4),""))</f>
        <v/>
      </c>
      <c r="E64" s="51" t="str">
        <f>IF(OR(E$2="",COUNT(الرصد!$C64:$Y64)=0),"",IFERROR(SUMIF(معالجة!$B$3:$X$3,E$2,الرصد!$C64:$Y64)/SUMIF(معالجة!$B$3:$X$3,E$2,معالجة!$B$4:$X$4),""))</f>
        <v/>
      </c>
      <c r="F64" s="51" t="str">
        <f>IF(OR(F$2="",COUNT(الرصد!$C64:$Y64)=0),"",IFERROR(SUMIF(معالجة!$B$3:$X$3,F$2,الرصد!$C64:$Y64)/SUMIF(معالجة!$B$3:$X$3,F$2,معالجة!$B$4:$X$4),""))</f>
        <v/>
      </c>
      <c r="G64" s="51" t="str">
        <f>IF(OR(G$2="",COUNT(الرصد!$C64:$Y64)=0),"",IFERROR(SUMIF(معالجة!$B$3:$X$3,G$2,الرصد!$C64:$Y64)/SUMIF(معالجة!$B$3:$X$3,G$2,معالجة!$B$4:$X$4),""))</f>
        <v/>
      </c>
      <c r="H64" s="51" t="str">
        <f>IF(OR(H$2="",COUNT(الرصد!$C64:$Y64)=0),"",IFERROR(SUMIF(معالجة!$B$3:$X$3,H$2,الرصد!$C64:$Y64)/SUMIF(معالجة!$B$3:$X$3,H$2,معالجة!$B$4:$X$4),""))</f>
        <v/>
      </c>
      <c r="I64" s="51" t="str">
        <f>IF(OR(I$2="",COUNT(الرصد!$C64:$Y64)=0),"",IFERROR(SUMIF(معالجة!$B$3:$X$3,I$2,الرصد!$C64:$Y64)/SUMIF(معالجة!$B$3:$X$3,I$2,معالجة!$B$4:$X$4),""))</f>
        <v/>
      </c>
      <c r="J64" s="51" t="str">
        <f>IF(OR(J$2="",COUNT(الرصد!$C64:$Y64)=0),"",IFERROR(SUMIF(معالجة!$B$3:$X$3,J$2,الرصد!$C64:$Y64)/SUMIF(معالجة!$B$3:$X$3,J$2,معالجة!$B$4:$X$4),""))</f>
        <v/>
      </c>
      <c r="K64" s="51" t="str">
        <f>IF(OR(K$2="",COUNT(الرصد!$C64:$Y64)=0),"",IFERROR(SUMIF(معالجة!$B$3:$X$3,K$2,الرصد!$C64:$Y64)/SUMIF(معالجة!$B$3:$X$3,K$2,معالجة!$B$4:$X$4),""))</f>
        <v/>
      </c>
      <c r="L64" s="51" t="str">
        <f>IF(OR(L$2="",COUNT(الرصد!$C64:$Y64)=0),"",IFERROR(SUMIF(معالجة!$B$3:$X$3,L$2,الرصد!$C64:$Y64)/SUMIF(معالجة!$B$3:$X$3,L$2,معالجة!$B$4:$X$4),""))</f>
        <v/>
      </c>
      <c r="M64" s="51" t="str">
        <f>IF(OR(M$2="",COUNT(الرصد!$C64:$Y64)=0),"",IFERROR(SUMIF(معالجة!$B$3:$X$3,M$2,الرصد!$C64:$Y64)/SUMIF(معالجة!$B$3:$X$3,M$2,معالجة!$B$4:$X$4),""))</f>
        <v/>
      </c>
      <c r="N64" s="51" t="str">
        <f>IF(OR(N$2="",COUNT(الرصد!$C64:$Y64)=0),"",IFERROR(SUMIF(معالجة!$B$3:$X$3,N$2,الرصد!$C64:$Y64)/SUMIF(معالجة!$B$3:$X$3,N$2,معالجة!$B$4:$X$4),""))</f>
        <v/>
      </c>
      <c r="O64" s="51" t="str">
        <f>IF(OR(O$2="",COUNT(الرصد!$C64:$Y64)=0),"",IFERROR(SUMIF(معالجة!$B$3:$X$3,O$2,الرصد!$C64:$Y64)/SUMIF(معالجة!$B$3:$X$3,O$2,معالجة!$B$4:$X$4),""))</f>
        <v/>
      </c>
      <c r="P64" s="51" t="str">
        <f>IF(OR(P$2="",COUNT(الرصد!$C64:$Y64)=0),"",IFERROR(SUMIF(معالجة!$B$3:$X$3,P$2,الرصد!$C64:$Y64)/SUMIF(معالجة!$B$3:$X$3,P$2,معالجة!$B$4:$X$4),""))</f>
        <v/>
      </c>
      <c r="Q64" s="51" t="str">
        <f>IF(OR(Q$2="",COUNT(الرصد!$C64:$Y64)=0),"",IFERROR(SUMIF(معالجة!$B$3:$X$3,Q$2,الرصد!$C64:$Y64)/SUMIF(معالجة!$B$3:$X$3,Q$2,معالجة!$B$4:$X$4),""))</f>
        <v/>
      </c>
      <c r="R64" s="51" t="str">
        <f>IF(OR(R$2="",COUNT(الرصد!$C64:$Y64)=0),"",IFERROR(SUMIF(معالجة!$B$3:$X$3,R$2,الرصد!$C64:$Y64)/SUMIF(معالجة!$B$3:$X$3,R$2,معالجة!$B$4:$X$4),""))</f>
        <v/>
      </c>
      <c r="S64" s="51" t="str">
        <f>IF(OR(S$2="",COUNT(الرصد!$C64:$Y64)=0),"",IFERROR(SUMIF(معالجة!$B$3:$X$3,S$2,الرصد!$C64:$Y64)/SUMIF(معالجة!$B$3:$X$3,S$2,معالجة!$B$4:$X$4),""))</f>
        <v/>
      </c>
      <c r="T64" s="51" t="str">
        <f>IF(OR(T$2="",COUNT(الرصد!$C64:$Y64)=0),"",IFERROR(SUMIF(معالجة!$B$3:$X$3,T$2,الرصد!$C64:$Y64)/SUMIF(معالجة!$B$3:$X$3,T$2,معالجة!$B$4:$X$4),""))</f>
        <v/>
      </c>
      <c r="U64" s="51" t="str">
        <f>IF(OR(U$2="",COUNT(الرصد!$C64:$Y64)=0),"",IFERROR(SUMIF(معالجة!$B$3:$X$3,U$2,الرصد!$C64:$Y64)/SUMIF(معالجة!$B$3:$X$3,U$2,معالجة!$B$4:$X$4),""))</f>
        <v/>
      </c>
      <c r="V64" s="51" t="str">
        <f>IF(OR(V$2="",COUNT(الرصد!$C64:$Y64)=0),"",IFERROR(SUMIF(معالجة!$B$3:$X$3,V$2,الرصد!$C64:$Y64)/SUMIF(معالجة!$B$3:$X$3,V$2,معالجة!$B$4:$X$4),""))</f>
        <v/>
      </c>
      <c r="W64" s="51" t="str">
        <f>IFERROR(C64/المهارات!$G$27,"")</f>
        <v/>
      </c>
    </row>
    <row r="65" spans="1:23" ht="14.25" customHeight="1">
      <c r="A65" s="42" t="s">
        <v>134</v>
      </c>
      <c r="B65" s="42" t="s">
        <v>19</v>
      </c>
      <c r="C65" s="50" t="str">
        <f>IF(COUNT(الرصد!C65:Y65)=0,"",SUM(الرصد!C65:Y65))</f>
        <v/>
      </c>
      <c r="D65" s="51" t="str">
        <f>IF(OR(D$2="",COUNT(الرصد!$C65:$Y65)=0),"",IFERROR(SUMIF(معالجة!$B$3:$X$3,D$2,الرصد!$C65:$Y65)/SUMIF(معالجة!$B$3:$X$3,D$2,معالجة!$B$4:$X$4),""))</f>
        <v/>
      </c>
      <c r="E65" s="51" t="str">
        <f>IF(OR(E$2="",COUNT(الرصد!$C65:$Y65)=0),"",IFERROR(SUMIF(معالجة!$B$3:$X$3,E$2,الرصد!$C65:$Y65)/SUMIF(معالجة!$B$3:$X$3,E$2,معالجة!$B$4:$X$4),""))</f>
        <v/>
      </c>
      <c r="F65" s="51" t="str">
        <f>IF(OR(F$2="",COUNT(الرصد!$C65:$Y65)=0),"",IFERROR(SUMIF(معالجة!$B$3:$X$3,F$2,الرصد!$C65:$Y65)/SUMIF(معالجة!$B$3:$X$3,F$2,معالجة!$B$4:$X$4),""))</f>
        <v/>
      </c>
      <c r="G65" s="51" t="str">
        <f>IF(OR(G$2="",COUNT(الرصد!$C65:$Y65)=0),"",IFERROR(SUMIF(معالجة!$B$3:$X$3,G$2,الرصد!$C65:$Y65)/SUMIF(معالجة!$B$3:$X$3,G$2,معالجة!$B$4:$X$4),""))</f>
        <v/>
      </c>
      <c r="H65" s="51" t="str">
        <f>IF(OR(H$2="",COUNT(الرصد!$C65:$Y65)=0),"",IFERROR(SUMIF(معالجة!$B$3:$X$3,H$2,الرصد!$C65:$Y65)/SUMIF(معالجة!$B$3:$X$3,H$2,معالجة!$B$4:$X$4),""))</f>
        <v/>
      </c>
      <c r="I65" s="51" t="str">
        <f>IF(OR(I$2="",COUNT(الرصد!$C65:$Y65)=0),"",IFERROR(SUMIF(معالجة!$B$3:$X$3,I$2,الرصد!$C65:$Y65)/SUMIF(معالجة!$B$3:$X$3,I$2,معالجة!$B$4:$X$4),""))</f>
        <v/>
      </c>
      <c r="J65" s="51" t="str">
        <f>IF(OR(J$2="",COUNT(الرصد!$C65:$Y65)=0),"",IFERROR(SUMIF(معالجة!$B$3:$X$3,J$2,الرصد!$C65:$Y65)/SUMIF(معالجة!$B$3:$X$3,J$2,معالجة!$B$4:$X$4),""))</f>
        <v/>
      </c>
      <c r="K65" s="51" t="str">
        <f>IF(OR(K$2="",COUNT(الرصد!$C65:$Y65)=0),"",IFERROR(SUMIF(معالجة!$B$3:$X$3,K$2,الرصد!$C65:$Y65)/SUMIF(معالجة!$B$3:$X$3,K$2,معالجة!$B$4:$X$4),""))</f>
        <v/>
      </c>
      <c r="L65" s="51" t="str">
        <f>IF(OR(L$2="",COUNT(الرصد!$C65:$Y65)=0),"",IFERROR(SUMIF(معالجة!$B$3:$X$3,L$2,الرصد!$C65:$Y65)/SUMIF(معالجة!$B$3:$X$3,L$2,معالجة!$B$4:$X$4),""))</f>
        <v/>
      </c>
      <c r="M65" s="51" t="str">
        <f>IF(OR(M$2="",COUNT(الرصد!$C65:$Y65)=0),"",IFERROR(SUMIF(معالجة!$B$3:$X$3,M$2,الرصد!$C65:$Y65)/SUMIF(معالجة!$B$3:$X$3,M$2,معالجة!$B$4:$X$4),""))</f>
        <v/>
      </c>
      <c r="N65" s="51" t="str">
        <f>IF(OR(N$2="",COUNT(الرصد!$C65:$Y65)=0),"",IFERROR(SUMIF(معالجة!$B$3:$X$3,N$2,الرصد!$C65:$Y65)/SUMIF(معالجة!$B$3:$X$3,N$2,معالجة!$B$4:$X$4),""))</f>
        <v/>
      </c>
      <c r="O65" s="51" t="str">
        <f>IF(OR(O$2="",COUNT(الرصد!$C65:$Y65)=0),"",IFERROR(SUMIF(معالجة!$B$3:$X$3,O$2,الرصد!$C65:$Y65)/SUMIF(معالجة!$B$3:$X$3,O$2,معالجة!$B$4:$X$4),""))</f>
        <v/>
      </c>
      <c r="P65" s="51" t="str">
        <f>IF(OR(P$2="",COUNT(الرصد!$C65:$Y65)=0),"",IFERROR(SUMIF(معالجة!$B$3:$X$3,P$2,الرصد!$C65:$Y65)/SUMIF(معالجة!$B$3:$X$3,P$2,معالجة!$B$4:$X$4),""))</f>
        <v/>
      </c>
      <c r="Q65" s="51" t="str">
        <f>IF(OR(Q$2="",COUNT(الرصد!$C65:$Y65)=0),"",IFERROR(SUMIF(معالجة!$B$3:$X$3,Q$2,الرصد!$C65:$Y65)/SUMIF(معالجة!$B$3:$X$3,Q$2,معالجة!$B$4:$X$4),""))</f>
        <v/>
      </c>
      <c r="R65" s="51" t="str">
        <f>IF(OR(R$2="",COUNT(الرصد!$C65:$Y65)=0),"",IFERROR(SUMIF(معالجة!$B$3:$X$3,R$2,الرصد!$C65:$Y65)/SUMIF(معالجة!$B$3:$X$3,R$2,معالجة!$B$4:$X$4),""))</f>
        <v/>
      </c>
      <c r="S65" s="51" t="str">
        <f>IF(OR(S$2="",COUNT(الرصد!$C65:$Y65)=0),"",IFERROR(SUMIF(معالجة!$B$3:$X$3,S$2,الرصد!$C65:$Y65)/SUMIF(معالجة!$B$3:$X$3,S$2,معالجة!$B$4:$X$4),""))</f>
        <v/>
      </c>
      <c r="T65" s="51" t="str">
        <f>IF(OR(T$2="",COUNT(الرصد!$C65:$Y65)=0),"",IFERROR(SUMIF(معالجة!$B$3:$X$3,T$2,الرصد!$C65:$Y65)/SUMIF(معالجة!$B$3:$X$3,T$2,معالجة!$B$4:$X$4),""))</f>
        <v/>
      </c>
      <c r="U65" s="51" t="str">
        <f>IF(OR(U$2="",COUNT(الرصد!$C65:$Y65)=0),"",IFERROR(SUMIF(معالجة!$B$3:$X$3,U$2,الرصد!$C65:$Y65)/SUMIF(معالجة!$B$3:$X$3,U$2,معالجة!$B$4:$X$4),""))</f>
        <v/>
      </c>
      <c r="V65" s="51" t="str">
        <f>IF(OR(V$2="",COUNT(الرصد!$C65:$Y65)=0),"",IFERROR(SUMIF(معالجة!$B$3:$X$3,V$2,الرصد!$C65:$Y65)/SUMIF(معالجة!$B$3:$X$3,V$2,معالجة!$B$4:$X$4),""))</f>
        <v/>
      </c>
      <c r="W65" s="51" t="str">
        <f>IFERROR(C65/المهارات!$G$27,"")</f>
        <v/>
      </c>
    </row>
    <row r="66" spans="1:23" ht="14.25" customHeight="1">
      <c r="A66" s="46" t="s">
        <v>135</v>
      </c>
      <c r="B66" s="46" t="s">
        <v>19</v>
      </c>
      <c r="C66" s="52" t="str">
        <f>IF(COUNT(الرصد!C66:Y66)=0,"",SUM(الرصد!C66:Y66))</f>
        <v/>
      </c>
      <c r="D66" s="51" t="str">
        <f>IF(OR(D$2="",COUNT(الرصد!$C66:$Y66)=0),"",IFERROR(SUMIF(معالجة!$B$3:$X$3,D$2,الرصد!$C66:$Y66)/SUMIF(معالجة!$B$3:$X$3,D$2,معالجة!$B$4:$X$4),""))</f>
        <v/>
      </c>
      <c r="E66" s="51" t="str">
        <f>IF(OR(E$2="",COUNT(الرصد!$C66:$Y66)=0),"",IFERROR(SUMIF(معالجة!$B$3:$X$3,E$2,الرصد!$C66:$Y66)/SUMIF(معالجة!$B$3:$X$3,E$2,معالجة!$B$4:$X$4),""))</f>
        <v/>
      </c>
      <c r="F66" s="51" t="str">
        <f>IF(OR(F$2="",COUNT(الرصد!$C66:$Y66)=0),"",IFERROR(SUMIF(معالجة!$B$3:$X$3,F$2,الرصد!$C66:$Y66)/SUMIF(معالجة!$B$3:$X$3,F$2,معالجة!$B$4:$X$4),""))</f>
        <v/>
      </c>
      <c r="G66" s="51" t="str">
        <f>IF(OR(G$2="",COUNT(الرصد!$C66:$Y66)=0),"",IFERROR(SUMIF(معالجة!$B$3:$X$3,G$2,الرصد!$C66:$Y66)/SUMIF(معالجة!$B$3:$X$3,G$2,معالجة!$B$4:$X$4),""))</f>
        <v/>
      </c>
      <c r="H66" s="51" t="str">
        <f>IF(OR(H$2="",COUNT(الرصد!$C66:$Y66)=0),"",IFERROR(SUMIF(معالجة!$B$3:$X$3,H$2,الرصد!$C66:$Y66)/SUMIF(معالجة!$B$3:$X$3,H$2,معالجة!$B$4:$X$4),""))</f>
        <v/>
      </c>
      <c r="I66" s="51" t="str">
        <f>IF(OR(I$2="",COUNT(الرصد!$C66:$Y66)=0),"",IFERROR(SUMIF(معالجة!$B$3:$X$3,I$2,الرصد!$C66:$Y66)/SUMIF(معالجة!$B$3:$X$3,I$2,معالجة!$B$4:$X$4),""))</f>
        <v/>
      </c>
      <c r="J66" s="51" t="str">
        <f>IF(OR(J$2="",COUNT(الرصد!$C66:$Y66)=0),"",IFERROR(SUMIF(معالجة!$B$3:$X$3,J$2,الرصد!$C66:$Y66)/SUMIF(معالجة!$B$3:$X$3,J$2,معالجة!$B$4:$X$4),""))</f>
        <v/>
      </c>
      <c r="K66" s="51" t="str">
        <f>IF(OR(K$2="",COUNT(الرصد!$C66:$Y66)=0),"",IFERROR(SUMIF(معالجة!$B$3:$X$3,K$2,الرصد!$C66:$Y66)/SUMIF(معالجة!$B$3:$X$3,K$2,معالجة!$B$4:$X$4),""))</f>
        <v/>
      </c>
      <c r="L66" s="51" t="str">
        <f>IF(OR(L$2="",COUNT(الرصد!$C66:$Y66)=0),"",IFERROR(SUMIF(معالجة!$B$3:$X$3,L$2,الرصد!$C66:$Y66)/SUMIF(معالجة!$B$3:$X$3,L$2,معالجة!$B$4:$X$4),""))</f>
        <v/>
      </c>
      <c r="M66" s="51" t="str">
        <f>IF(OR(M$2="",COUNT(الرصد!$C66:$Y66)=0),"",IFERROR(SUMIF(معالجة!$B$3:$X$3,M$2,الرصد!$C66:$Y66)/SUMIF(معالجة!$B$3:$X$3,M$2,معالجة!$B$4:$X$4),""))</f>
        <v/>
      </c>
      <c r="N66" s="51" t="str">
        <f>IF(OR(N$2="",COUNT(الرصد!$C66:$Y66)=0),"",IFERROR(SUMIF(معالجة!$B$3:$X$3,N$2,الرصد!$C66:$Y66)/SUMIF(معالجة!$B$3:$X$3,N$2,معالجة!$B$4:$X$4),""))</f>
        <v/>
      </c>
      <c r="O66" s="51" t="str">
        <f>IF(OR(O$2="",COUNT(الرصد!$C66:$Y66)=0),"",IFERROR(SUMIF(معالجة!$B$3:$X$3,O$2,الرصد!$C66:$Y66)/SUMIF(معالجة!$B$3:$X$3,O$2,معالجة!$B$4:$X$4),""))</f>
        <v/>
      </c>
      <c r="P66" s="51" t="str">
        <f>IF(OR(P$2="",COUNT(الرصد!$C66:$Y66)=0),"",IFERROR(SUMIF(معالجة!$B$3:$X$3,P$2,الرصد!$C66:$Y66)/SUMIF(معالجة!$B$3:$X$3,P$2,معالجة!$B$4:$X$4),""))</f>
        <v/>
      </c>
      <c r="Q66" s="51" t="str">
        <f>IF(OR(Q$2="",COUNT(الرصد!$C66:$Y66)=0),"",IFERROR(SUMIF(معالجة!$B$3:$X$3,Q$2,الرصد!$C66:$Y66)/SUMIF(معالجة!$B$3:$X$3,Q$2,معالجة!$B$4:$X$4),""))</f>
        <v/>
      </c>
      <c r="R66" s="51" t="str">
        <f>IF(OR(R$2="",COUNT(الرصد!$C66:$Y66)=0),"",IFERROR(SUMIF(معالجة!$B$3:$X$3,R$2,الرصد!$C66:$Y66)/SUMIF(معالجة!$B$3:$X$3,R$2,معالجة!$B$4:$X$4),""))</f>
        <v/>
      </c>
      <c r="S66" s="51" t="str">
        <f>IF(OR(S$2="",COUNT(الرصد!$C66:$Y66)=0),"",IFERROR(SUMIF(معالجة!$B$3:$X$3,S$2,الرصد!$C66:$Y66)/SUMIF(معالجة!$B$3:$X$3,S$2,معالجة!$B$4:$X$4),""))</f>
        <v/>
      </c>
      <c r="T66" s="51" t="str">
        <f>IF(OR(T$2="",COUNT(الرصد!$C66:$Y66)=0),"",IFERROR(SUMIF(معالجة!$B$3:$X$3,T$2,الرصد!$C66:$Y66)/SUMIF(معالجة!$B$3:$X$3,T$2,معالجة!$B$4:$X$4),""))</f>
        <v/>
      </c>
      <c r="U66" s="51" t="str">
        <f>IF(OR(U$2="",COUNT(الرصد!$C66:$Y66)=0),"",IFERROR(SUMIF(معالجة!$B$3:$X$3,U$2,الرصد!$C66:$Y66)/SUMIF(معالجة!$B$3:$X$3,U$2,معالجة!$B$4:$X$4),""))</f>
        <v/>
      </c>
      <c r="V66" s="51" t="str">
        <f>IF(OR(V$2="",COUNT(الرصد!$C66:$Y66)=0),"",IFERROR(SUMIF(معالجة!$B$3:$X$3,V$2,الرصد!$C66:$Y66)/SUMIF(معالجة!$B$3:$X$3,V$2,معالجة!$B$4:$X$4),""))</f>
        <v/>
      </c>
      <c r="W66" s="51" t="str">
        <f>IFERROR(C66/المهارات!$G$27,"")</f>
        <v/>
      </c>
    </row>
    <row r="67" spans="1:23" ht="14.25" customHeight="1">
      <c r="A67" s="42" t="s">
        <v>136</v>
      </c>
      <c r="B67" s="42" t="s">
        <v>20</v>
      </c>
      <c r="C67" s="50" t="str">
        <f>IF(COUNT(الرصد!C67:Y67)=0,"",SUM(الرصد!C67:Y67))</f>
        <v/>
      </c>
      <c r="D67" s="51" t="str">
        <f>IF(OR(D$2="",COUNT(الرصد!$C67:$Y67)=0),"",IFERROR(SUMIF(معالجة!$B$3:$X$3,D$2,الرصد!$C67:$Y67)/SUMIF(معالجة!$B$3:$X$3,D$2,معالجة!$B$4:$X$4),""))</f>
        <v/>
      </c>
      <c r="E67" s="51" t="str">
        <f>IF(OR(E$2="",COUNT(الرصد!$C67:$Y67)=0),"",IFERROR(SUMIF(معالجة!$B$3:$X$3,E$2,الرصد!$C67:$Y67)/SUMIF(معالجة!$B$3:$X$3,E$2,معالجة!$B$4:$X$4),""))</f>
        <v/>
      </c>
      <c r="F67" s="51" t="str">
        <f>IF(OR(F$2="",COUNT(الرصد!$C67:$Y67)=0),"",IFERROR(SUMIF(معالجة!$B$3:$X$3,F$2,الرصد!$C67:$Y67)/SUMIF(معالجة!$B$3:$X$3,F$2,معالجة!$B$4:$X$4),""))</f>
        <v/>
      </c>
      <c r="G67" s="51" t="str">
        <f>IF(OR(G$2="",COUNT(الرصد!$C67:$Y67)=0),"",IFERROR(SUMIF(معالجة!$B$3:$X$3,G$2,الرصد!$C67:$Y67)/SUMIF(معالجة!$B$3:$X$3,G$2,معالجة!$B$4:$X$4),""))</f>
        <v/>
      </c>
      <c r="H67" s="51" t="str">
        <f>IF(OR(H$2="",COUNT(الرصد!$C67:$Y67)=0),"",IFERROR(SUMIF(معالجة!$B$3:$X$3,H$2,الرصد!$C67:$Y67)/SUMIF(معالجة!$B$3:$X$3,H$2,معالجة!$B$4:$X$4),""))</f>
        <v/>
      </c>
      <c r="I67" s="51" t="str">
        <f>IF(OR(I$2="",COUNT(الرصد!$C67:$Y67)=0),"",IFERROR(SUMIF(معالجة!$B$3:$X$3,I$2,الرصد!$C67:$Y67)/SUMIF(معالجة!$B$3:$X$3,I$2,معالجة!$B$4:$X$4),""))</f>
        <v/>
      </c>
      <c r="J67" s="51" t="str">
        <f>IF(OR(J$2="",COUNT(الرصد!$C67:$Y67)=0),"",IFERROR(SUMIF(معالجة!$B$3:$X$3,J$2,الرصد!$C67:$Y67)/SUMIF(معالجة!$B$3:$X$3,J$2,معالجة!$B$4:$X$4),""))</f>
        <v/>
      </c>
      <c r="K67" s="51" t="str">
        <f>IF(OR(K$2="",COUNT(الرصد!$C67:$Y67)=0),"",IFERROR(SUMIF(معالجة!$B$3:$X$3,K$2,الرصد!$C67:$Y67)/SUMIF(معالجة!$B$3:$X$3,K$2,معالجة!$B$4:$X$4),""))</f>
        <v/>
      </c>
      <c r="L67" s="51" t="str">
        <f>IF(OR(L$2="",COUNT(الرصد!$C67:$Y67)=0),"",IFERROR(SUMIF(معالجة!$B$3:$X$3,L$2,الرصد!$C67:$Y67)/SUMIF(معالجة!$B$3:$X$3,L$2,معالجة!$B$4:$X$4),""))</f>
        <v/>
      </c>
      <c r="M67" s="51" t="str">
        <f>IF(OR(M$2="",COUNT(الرصد!$C67:$Y67)=0),"",IFERROR(SUMIF(معالجة!$B$3:$X$3,M$2,الرصد!$C67:$Y67)/SUMIF(معالجة!$B$3:$X$3,M$2,معالجة!$B$4:$X$4),""))</f>
        <v/>
      </c>
      <c r="N67" s="51" t="str">
        <f>IF(OR(N$2="",COUNT(الرصد!$C67:$Y67)=0),"",IFERROR(SUMIF(معالجة!$B$3:$X$3,N$2,الرصد!$C67:$Y67)/SUMIF(معالجة!$B$3:$X$3,N$2,معالجة!$B$4:$X$4),""))</f>
        <v/>
      </c>
      <c r="O67" s="51" t="str">
        <f>IF(OR(O$2="",COUNT(الرصد!$C67:$Y67)=0),"",IFERROR(SUMIF(معالجة!$B$3:$X$3,O$2,الرصد!$C67:$Y67)/SUMIF(معالجة!$B$3:$X$3,O$2,معالجة!$B$4:$X$4),""))</f>
        <v/>
      </c>
      <c r="P67" s="51" t="str">
        <f>IF(OR(P$2="",COUNT(الرصد!$C67:$Y67)=0),"",IFERROR(SUMIF(معالجة!$B$3:$X$3,P$2,الرصد!$C67:$Y67)/SUMIF(معالجة!$B$3:$X$3,P$2,معالجة!$B$4:$X$4),""))</f>
        <v/>
      </c>
      <c r="Q67" s="51" t="str">
        <f>IF(OR(Q$2="",COUNT(الرصد!$C67:$Y67)=0),"",IFERROR(SUMIF(معالجة!$B$3:$X$3,Q$2,الرصد!$C67:$Y67)/SUMIF(معالجة!$B$3:$X$3,Q$2,معالجة!$B$4:$X$4),""))</f>
        <v/>
      </c>
      <c r="R67" s="51" t="str">
        <f>IF(OR(R$2="",COUNT(الرصد!$C67:$Y67)=0),"",IFERROR(SUMIF(معالجة!$B$3:$X$3,R$2,الرصد!$C67:$Y67)/SUMIF(معالجة!$B$3:$X$3,R$2,معالجة!$B$4:$X$4),""))</f>
        <v/>
      </c>
      <c r="S67" s="51" t="str">
        <f>IF(OR(S$2="",COUNT(الرصد!$C67:$Y67)=0),"",IFERROR(SUMIF(معالجة!$B$3:$X$3,S$2,الرصد!$C67:$Y67)/SUMIF(معالجة!$B$3:$X$3,S$2,معالجة!$B$4:$X$4),""))</f>
        <v/>
      </c>
      <c r="T67" s="51" t="str">
        <f>IF(OR(T$2="",COUNT(الرصد!$C67:$Y67)=0),"",IFERROR(SUMIF(معالجة!$B$3:$X$3,T$2,الرصد!$C67:$Y67)/SUMIF(معالجة!$B$3:$X$3,T$2,معالجة!$B$4:$X$4),""))</f>
        <v/>
      </c>
      <c r="U67" s="51" t="str">
        <f>IF(OR(U$2="",COUNT(الرصد!$C67:$Y67)=0),"",IFERROR(SUMIF(معالجة!$B$3:$X$3,U$2,الرصد!$C67:$Y67)/SUMIF(معالجة!$B$3:$X$3,U$2,معالجة!$B$4:$X$4),""))</f>
        <v/>
      </c>
      <c r="V67" s="51" t="str">
        <f>IF(OR(V$2="",COUNT(الرصد!$C67:$Y67)=0),"",IFERROR(SUMIF(معالجة!$B$3:$X$3,V$2,الرصد!$C67:$Y67)/SUMIF(معالجة!$B$3:$X$3,V$2,معالجة!$B$4:$X$4),""))</f>
        <v/>
      </c>
      <c r="W67" s="51" t="str">
        <f>IFERROR(C67/المهارات!$G$27,"")</f>
        <v/>
      </c>
    </row>
    <row r="68" spans="1:23" ht="14.25" customHeight="1">
      <c r="A68" s="46" t="s">
        <v>137</v>
      </c>
      <c r="B68" s="46" t="s">
        <v>20</v>
      </c>
      <c r="C68" s="52" t="str">
        <f>IF(COUNT(الرصد!C68:Y68)=0,"",SUM(الرصد!C68:Y68))</f>
        <v/>
      </c>
      <c r="D68" s="51" t="str">
        <f>IF(OR(D$2="",COUNT(الرصد!$C68:$Y68)=0),"",IFERROR(SUMIF(معالجة!$B$3:$X$3,D$2,الرصد!$C68:$Y68)/SUMIF(معالجة!$B$3:$X$3,D$2,معالجة!$B$4:$X$4),""))</f>
        <v/>
      </c>
      <c r="E68" s="51" t="str">
        <f>IF(OR(E$2="",COUNT(الرصد!$C68:$Y68)=0),"",IFERROR(SUMIF(معالجة!$B$3:$X$3,E$2,الرصد!$C68:$Y68)/SUMIF(معالجة!$B$3:$X$3,E$2,معالجة!$B$4:$X$4),""))</f>
        <v/>
      </c>
      <c r="F68" s="51" t="str">
        <f>IF(OR(F$2="",COUNT(الرصد!$C68:$Y68)=0),"",IFERROR(SUMIF(معالجة!$B$3:$X$3,F$2,الرصد!$C68:$Y68)/SUMIF(معالجة!$B$3:$X$3,F$2,معالجة!$B$4:$X$4),""))</f>
        <v/>
      </c>
      <c r="G68" s="51" t="str">
        <f>IF(OR(G$2="",COUNT(الرصد!$C68:$Y68)=0),"",IFERROR(SUMIF(معالجة!$B$3:$X$3,G$2,الرصد!$C68:$Y68)/SUMIF(معالجة!$B$3:$X$3,G$2,معالجة!$B$4:$X$4),""))</f>
        <v/>
      </c>
      <c r="H68" s="51" t="str">
        <f>IF(OR(H$2="",COUNT(الرصد!$C68:$Y68)=0),"",IFERROR(SUMIF(معالجة!$B$3:$X$3,H$2,الرصد!$C68:$Y68)/SUMIF(معالجة!$B$3:$X$3,H$2,معالجة!$B$4:$X$4),""))</f>
        <v/>
      </c>
      <c r="I68" s="51" t="str">
        <f>IF(OR(I$2="",COUNT(الرصد!$C68:$Y68)=0),"",IFERROR(SUMIF(معالجة!$B$3:$X$3,I$2,الرصد!$C68:$Y68)/SUMIF(معالجة!$B$3:$X$3,I$2,معالجة!$B$4:$X$4),""))</f>
        <v/>
      </c>
      <c r="J68" s="51" t="str">
        <f>IF(OR(J$2="",COUNT(الرصد!$C68:$Y68)=0),"",IFERROR(SUMIF(معالجة!$B$3:$X$3,J$2,الرصد!$C68:$Y68)/SUMIF(معالجة!$B$3:$X$3,J$2,معالجة!$B$4:$X$4),""))</f>
        <v/>
      </c>
      <c r="K68" s="51" t="str">
        <f>IF(OR(K$2="",COUNT(الرصد!$C68:$Y68)=0),"",IFERROR(SUMIF(معالجة!$B$3:$X$3,K$2,الرصد!$C68:$Y68)/SUMIF(معالجة!$B$3:$X$3,K$2,معالجة!$B$4:$X$4),""))</f>
        <v/>
      </c>
      <c r="L68" s="51" t="str">
        <f>IF(OR(L$2="",COUNT(الرصد!$C68:$Y68)=0),"",IFERROR(SUMIF(معالجة!$B$3:$X$3,L$2,الرصد!$C68:$Y68)/SUMIF(معالجة!$B$3:$X$3,L$2,معالجة!$B$4:$X$4),""))</f>
        <v/>
      </c>
      <c r="M68" s="51" t="str">
        <f>IF(OR(M$2="",COUNT(الرصد!$C68:$Y68)=0),"",IFERROR(SUMIF(معالجة!$B$3:$X$3,M$2,الرصد!$C68:$Y68)/SUMIF(معالجة!$B$3:$X$3,M$2,معالجة!$B$4:$X$4),""))</f>
        <v/>
      </c>
      <c r="N68" s="51" t="str">
        <f>IF(OR(N$2="",COUNT(الرصد!$C68:$Y68)=0),"",IFERROR(SUMIF(معالجة!$B$3:$X$3,N$2,الرصد!$C68:$Y68)/SUMIF(معالجة!$B$3:$X$3,N$2,معالجة!$B$4:$X$4),""))</f>
        <v/>
      </c>
      <c r="O68" s="51" t="str">
        <f>IF(OR(O$2="",COUNT(الرصد!$C68:$Y68)=0),"",IFERROR(SUMIF(معالجة!$B$3:$X$3,O$2,الرصد!$C68:$Y68)/SUMIF(معالجة!$B$3:$X$3,O$2,معالجة!$B$4:$X$4),""))</f>
        <v/>
      </c>
      <c r="P68" s="51" t="str">
        <f>IF(OR(P$2="",COUNT(الرصد!$C68:$Y68)=0),"",IFERROR(SUMIF(معالجة!$B$3:$X$3,P$2,الرصد!$C68:$Y68)/SUMIF(معالجة!$B$3:$X$3,P$2,معالجة!$B$4:$X$4),""))</f>
        <v/>
      </c>
      <c r="Q68" s="51" t="str">
        <f>IF(OR(Q$2="",COUNT(الرصد!$C68:$Y68)=0),"",IFERROR(SUMIF(معالجة!$B$3:$X$3,Q$2,الرصد!$C68:$Y68)/SUMIF(معالجة!$B$3:$X$3,Q$2,معالجة!$B$4:$X$4),""))</f>
        <v/>
      </c>
      <c r="R68" s="51" t="str">
        <f>IF(OR(R$2="",COUNT(الرصد!$C68:$Y68)=0),"",IFERROR(SUMIF(معالجة!$B$3:$X$3,R$2,الرصد!$C68:$Y68)/SUMIF(معالجة!$B$3:$X$3,R$2,معالجة!$B$4:$X$4),""))</f>
        <v/>
      </c>
      <c r="S68" s="51" t="str">
        <f>IF(OR(S$2="",COUNT(الرصد!$C68:$Y68)=0),"",IFERROR(SUMIF(معالجة!$B$3:$X$3,S$2,الرصد!$C68:$Y68)/SUMIF(معالجة!$B$3:$X$3,S$2,معالجة!$B$4:$X$4),""))</f>
        <v/>
      </c>
      <c r="T68" s="51" t="str">
        <f>IF(OR(T$2="",COUNT(الرصد!$C68:$Y68)=0),"",IFERROR(SUMIF(معالجة!$B$3:$X$3,T$2,الرصد!$C68:$Y68)/SUMIF(معالجة!$B$3:$X$3,T$2,معالجة!$B$4:$X$4),""))</f>
        <v/>
      </c>
      <c r="U68" s="51" t="str">
        <f>IF(OR(U$2="",COUNT(الرصد!$C68:$Y68)=0),"",IFERROR(SUMIF(معالجة!$B$3:$X$3,U$2,الرصد!$C68:$Y68)/SUMIF(معالجة!$B$3:$X$3,U$2,معالجة!$B$4:$X$4),""))</f>
        <v/>
      </c>
      <c r="V68" s="51" t="str">
        <f>IF(OR(V$2="",COUNT(الرصد!$C68:$Y68)=0),"",IFERROR(SUMIF(معالجة!$B$3:$X$3,V$2,الرصد!$C68:$Y68)/SUMIF(معالجة!$B$3:$X$3,V$2,معالجة!$B$4:$X$4),""))</f>
        <v/>
      </c>
      <c r="W68" s="51" t="str">
        <f>IFERROR(C68/المهارات!$G$27,"")</f>
        <v/>
      </c>
    </row>
    <row r="69" spans="1:23" ht="14.25" customHeight="1">
      <c r="A69" s="42" t="s">
        <v>138</v>
      </c>
      <c r="B69" s="42" t="s">
        <v>20</v>
      </c>
      <c r="C69" s="50" t="str">
        <f>IF(COUNT(الرصد!C69:Y69)=0,"",SUM(الرصد!C69:Y69))</f>
        <v/>
      </c>
      <c r="D69" s="51" t="str">
        <f>IF(OR(D$2="",COUNT(الرصد!$C69:$Y69)=0),"",IFERROR(SUMIF(معالجة!$B$3:$X$3,D$2,الرصد!$C69:$Y69)/SUMIF(معالجة!$B$3:$X$3,D$2,معالجة!$B$4:$X$4),""))</f>
        <v/>
      </c>
      <c r="E69" s="51" t="str">
        <f>IF(OR(E$2="",COUNT(الرصد!$C69:$Y69)=0),"",IFERROR(SUMIF(معالجة!$B$3:$X$3,E$2,الرصد!$C69:$Y69)/SUMIF(معالجة!$B$3:$X$3,E$2,معالجة!$B$4:$X$4),""))</f>
        <v/>
      </c>
      <c r="F69" s="51" t="str">
        <f>IF(OR(F$2="",COUNT(الرصد!$C69:$Y69)=0),"",IFERROR(SUMIF(معالجة!$B$3:$X$3,F$2,الرصد!$C69:$Y69)/SUMIF(معالجة!$B$3:$X$3,F$2,معالجة!$B$4:$X$4),""))</f>
        <v/>
      </c>
      <c r="G69" s="51" t="str">
        <f>IF(OR(G$2="",COUNT(الرصد!$C69:$Y69)=0),"",IFERROR(SUMIF(معالجة!$B$3:$X$3,G$2,الرصد!$C69:$Y69)/SUMIF(معالجة!$B$3:$X$3,G$2,معالجة!$B$4:$X$4),""))</f>
        <v/>
      </c>
      <c r="H69" s="51" t="str">
        <f>IF(OR(H$2="",COUNT(الرصد!$C69:$Y69)=0),"",IFERROR(SUMIF(معالجة!$B$3:$X$3,H$2,الرصد!$C69:$Y69)/SUMIF(معالجة!$B$3:$X$3,H$2,معالجة!$B$4:$X$4),""))</f>
        <v/>
      </c>
      <c r="I69" s="51" t="str">
        <f>IF(OR(I$2="",COUNT(الرصد!$C69:$Y69)=0),"",IFERROR(SUMIF(معالجة!$B$3:$X$3,I$2,الرصد!$C69:$Y69)/SUMIF(معالجة!$B$3:$X$3,I$2,معالجة!$B$4:$X$4),""))</f>
        <v/>
      </c>
      <c r="J69" s="51" t="str">
        <f>IF(OR(J$2="",COUNT(الرصد!$C69:$Y69)=0),"",IFERROR(SUMIF(معالجة!$B$3:$X$3,J$2,الرصد!$C69:$Y69)/SUMIF(معالجة!$B$3:$X$3,J$2,معالجة!$B$4:$X$4),""))</f>
        <v/>
      </c>
      <c r="K69" s="51" t="str">
        <f>IF(OR(K$2="",COUNT(الرصد!$C69:$Y69)=0),"",IFERROR(SUMIF(معالجة!$B$3:$X$3,K$2,الرصد!$C69:$Y69)/SUMIF(معالجة!$B$3:$X$3,K$2,معالجة!$B$4:$X$4),""))</f>
        <v/>
      </c>
      <c r="L69" s="51" t="str">
        <f>IF(OR(L$2="",COUNT(الرصد!$C69:$Y69)=0),"",IFERROR(SUMIF(معالجة!$B$3:$X$3,L$2,الرصد!$C69:$Y69)/SUMIF(معالجة!$B$3:$X$3,L$2,معالجة!$B$4:$X$4),""))</f>
        <v/>
      </c>
      <c r="M69" s="51" t="str">
        <f>IF(OR(M$2="",COUNT(الرصد!$C69:$Y69)=0),"",IFERROR(SUMIF(معالجة!$B$3:$X$3,M$2,الرصد!$C69:$Y69)/SUMIF(معالجة!$B$3:$X$3,M$2,معالجة!$B$4:$X$4),""))</f>
        <v/>
      </c>
      <c r="N69" s="51" t="str">
        <f>IF(OR(N$2="",COUNT(الرصد!$C69:$Y69)=0),"",IFERROR(SUMIF(معالجة!$B$3:$X$3,N$2,الرصد!$C69:$Y69)/SUMIF(معالجة!$B$3:$X$3,N$2,معالجة!$B$4:$X$4),""))</f>
        <v/>
      </c>
      <c r="O69" s="51" t="str">
        <f>IF(OR(O$2="",COUNT(الرصد!$C69:$Y69)=0),"",IFERROR(SUMIF(معالجة!$B$3:$X$3,O$2,الرصد!$C69:$Y69)/SUMIF(معالجة!$B$3:$X$3,O$2,معالجة!$B$4:$X$4),""))</f>
        <v/>
      </c>
      <c r="P69" s="51" t="str">
        <f>IF(OR(P$2="",COUNT(الرصد!$C69:$Y69)=0),"",IFERROR(SUMIF(معالجة!$B$3:$X$3,P$2,الرصد!$C69:$Y69)/SUMIF(معالجة!$B$3:$X$3,P$2,معالجة!$B$4:$X$4),""))</f>
        <v/>
      </c>
      <c r="Q69" s="51" t="str">
        <f>IF(OR(Q$2="",COUNT(الرصد!$C69:$Y69)=0),"",IFERROR(SUMIF(معالجة!$B$3:$X$3,Q$2,الرصد!$C69:$Y69)/SUMIF(معالجة!$B$3:$X$3,Q$2,معالجة!$B$4:$X$4),""))</f>
        <v/>
      </c>
      <c r="R69" s="51" t="str">
        <f>IF(OR(R$2="",COUNT(الرصد!$C69:$Y69)=0),"",IFERROR(SUMIF(معالجة!$B$3:$X$3,R$2,الرصد!$C69:$Y69)/SUMIF(معالجة!$B$3:$X$3,R$2,معالجة!$B$4:$X$4),""))</f>
        <v/>
      </c>
      <c r="S69" s="51" t="str">
        <f>IF(OR(S$2="",COUNT(الرصد!$C69:$Y69)=0),"",IFERROR(SUMIF(معالجة!$B$3:$X$3,S$2,الرصد!$C69:$Y69)/SUMIF(معالجة!$B$3:$X$3,S$2,معالجة!$B$4:$X$4),""))</f>
        <v/>
      </c>
      <c r="T69" s="51" t="str">
        <f>IF(OR(T$2="",COUNT(الرصد!$C69:$Y69)=0),"",IFERROR(SUMIF(معالجة!$B$3:$X$3,T$2,الرصد!$C69:$Y69)/SUMIF(معالجة!$B$3:$X$3,T$2,معالجة!$B$4:$X$4),""))</f>
        <v/>
      </c>
      <c r="U69" s="51" t="str">
        <f>IF(OR(U$2="",COUNT(الرصد!$C69:$Y69)=0),"",IFERROR(SUMIF(معالجة!$B$3:$X$3,U$2,الرصد!$C69:$Y69)/SUMIF(معالجة!$B$3:$X$3,U$2,معالجة!$B$4:$X$4),""))</f>
        <v/>
      </c>
      <c r="V69" s="51" t="str">
        <f>IF(OR(V$2="",COUNT(الرصد!$C69:$Y69)=0),"",IFERROR(SUMIF(معالجة!$B$3:$X$3,V$2,الرصد!$C69:$Y69)/SUMIF(معالجة!$B$3:$X$3,V$2,معالجة!$B$4:$X$4),""))</f>
        <v/>
      </c>
      <c r="W69" s="51" t="str">
        <f>IFERROR(C69/المهارات!$G$27,"")</f>
        <v/>
      </c>
    </row>
    <row r="70" spans="1:23" ht="14.25" customHeight="1">
      <c r="A70" s="46" t="s">
        <v>139</v>
      </c>
      <c r="B70" s="46" t="s">
        <v>20</v>
      </c>
      <c r="C70" s="52" t="str">
        <f>IF(COUNT(الرصد!C70:Y70)=0,"",SUM(الرصد!C70:Y70))</f>
        <v/>
      </c>
      <c r="D70" s="51" t="str">
        <f>IF(OR(D$2="",COUNT(الرصد!$C70:$Y70)=0),"",IFERROR(SUMIF(معالجة!$B$3:$X$3,D$2,الرصد!$C70:$Y70)/SUMIF(معالجة!$B$3:$X$3,D$2,معالجة!$B$4:$X$4),""))</f>
        <v/>
      </c>
      <c r="E70" s="51" t="str">
        <f>IF(OR(E$2="",COUNT(الرصد!$C70:$Y70)=0),"",IFERROR(SUMIF(معالجة!$B$3:$X$3,E$2,الرصد!$C70:$Y70)/SUMIF(معالجة!$B$3:$X$3,E$2,معالجة!$B$4:$X$4),""))</f>
        <v/>
      </c>
      <c r="F70" s="51" t="str">
        <f>IF(OR(F$2="",COUNT(الرصد!$C70:$Y70)=0),"",IFERROR(SUMIF(معالجة!$B$3:$X$3,F$2,الرصد!$C70:$Y70)/SUMIF(معالجة!$B$3:$X$3,F$2,معالجة!$B$4:$X$4),""))</f>
        <v/>
      </c>
      <c r="G70" s="51" t="str">
        <f>IF(OR(G$2="",COUNT(الرصد!$C70:$Y70)=0),"",IFERROR(SUMIF(معالجة!$B$3:$X$3,G$2,الرصد!$C70:$Y70)/SUMIF(معالجة!$B$3:$X$3,G$2,معالجة!$B$4:$X$4),""))</f>
        <v/>
      </c>
      <c r="H70" s="51" t="str">
        <f>IF(OR(H$2="",COUNT(الرصد!$C70:$Y70)=0),"",IFERROR(SUMIF(معالجة!$B$3:$X$3,H$2,الرصد!$C70:$Y70)/SUMIF(معالجة!$B$3:$X$3,H$2,معالجة!$B$4:$X$4),""))</f>
        <v/>
      </c>
      <c r="I70" s="51" t="str">
        <f>IF(OR(I$2="",COUNT(الرصد!$C70:$Y70)=0),"",IFERROR(SUMIF(معالجة!$B$3:$X$3,I$2,الرصد!$C70:$Y70)/SUMIF(معالجة!$B$3:$X$3,I$2,معالجة!$B$4:$X$4),""))</f>
        <v/>
      </c>
      <c r="J70" s="51" t="str">
        <f>IF(OR(J$2="",COUNT(الرصد!$C70:$Y70)=0),"",IFERROR(SUMIF(معالجة!$B$3:$X$3,J$2,الرصد!$C70:$Y70)/SUMIF(معالجة!$B$3:$X$3,J$2,معالجة!$B$4:$X$4),""))</f>
        <v/>
      </c>
      <c r="K70" s="51" t="str">
        <f>IF(OR(K$2="",COUNT(الرصد!$C70:$Y70)=0),"",IFERROR(SUMIF(معالجة!$B$3:$X$3,K$2,الرصد!$C70:$Y70)/SUMIF(معالجة!$B$3:$X$3,K$2,معالجة!$B$4:$X$4),""))</f>
        <v/>
      </c>
      <c r="L70" s="51" t="str">
        <f>IF(OR(L$2="",COUNT(الرصد!$C70:$Y70)=0),"",IFERROR(SUMIF(معالجة!$B$3:$X$3,L$2,الرصد!$C70:$Y70)/SUMIF(معالجة!$B$3:$X$3,L$2,معالجة!$B$4:$X$4),""))</f>
        <v/>
      </c>
      <c r="M70" s="51" t="str">
        <f>IF(OR(M$2="",COUNT(الرصد!$C70:$Y70)=0),"",IFERROR(SUMIF(معالجة!$B$3:$X$3,M$2,الرصد!$C70:$Y70)/SUMIF(معالجة!$B$3:$X$3,M$2,معالجة!$B$4:$X$4),""))</f>
        <v/>
      </c>
      <c r="N70" s="51" t="str">
        <f>IF(OR(N$2="",COUNT(الرصد!$C70:$Y70)=0),"",IFERROR(SUMIF(معالجة!$B$3:$X$3,N$2,الرصد!$C70:$Y70)/SUMIF(معالجة!$B$3:$X$3,N$2,معالجة!$B$4:$X$4),""))</f>
        <v/>
      </c>
      <c r="O70" s="51" t="str">
        <f>IF(OR(O$2="",COUNT(الرصد!$C70:$Y70)=0),"",IFERROR(SUMIF(معالجة!$B$3:$X$3,O$2,الرصد!$C70:$Y70)/SUMIF(معالجة!$B$3:$X$3,O$2,معالجة!$B$4:$X$4),""))</f>
        <v/>
      </c>
      <c r="P70" s="51" t="str">
        <f>IF(OR(P$2="",COUNT(الرصد!$C70:$Y70)=0),"",IFERROR(SUMIF(معالجة!$B$3:$X$3,P$2,الرصد!$C70:$Y70)/SUMIF(معالجة!$B$3:$X$3,P$2,معالجة!$B$4:$X$4),""))</f>
        <v/>
      </c>
      <c r="Q70" s="51" t="str">
        <f>IF(OR(Q$2="",COUNT(الرصد!$C70:$Y70)=0),"",IFERROR(SUMIF(معالجة!$B$3:$X$3,Q$2,الرصد!$C70:$Y70)/SUMIF(معالجة!$B$3:$X$3,Q$2,معالجة!$B$4:$X$4),""))</f>
        <v/>
      </c>
      <c r="R70" s="51" t="str">
        <f>IF(OR(R$2="",COUNT(الرصد!$C70:$Y70)=0),"",IFERROR(SUMIF(معالجة!$B$3:$X$3,R$2,الرصد!$C70:$Y70)/SUMIF(معالجة!$B$3:$X$3,R$2,معالجة!$B$4:$X$4),""))</f>
        <v/>
      </c>
      <c r="S70" s="51" t="str">
        <f>IF(OR(S$2="",COUNT(الرصد!$C70:$Y70)=0),"",IFERROR(SUMIF(معالجة!$B$3:$X$3,S$2,الرصد!$C70:$Y70)/SUMIF(معالجة!$B$3:$X$3,S$2,معالجة!$B$4:$X$4),""))</f>
        <v/>
      </c>
      <c r="T70" s="51" t="str">
        <f>IF(OR(T$2="",COUNT(الرصد!$C70:$Y70)=0),"",IFERROR(SUMIF(معالجة!$B$3:$X$3,T$2,الرصد!$C70:$Y70)/SUMIF(معالجة!$B$3:$X$3,T$2,معالجة!$B$4:$X$4),""))</f>
        <v/>
      </c>
      <c r="U70" s="51" t="str">
        <f>IF(OR(U$2="",COUNT(الرصد!$C70:$Y70)=0),"",IFERROR(SUMIF(معالجة!$B$3:$X$3,U$2,الرصد!$C70:$Y70)/SUMIF(معالجة!$B$3:$X$3,U$2,معالجة!$B$4:$X$4),""))</f>
        <v/>
      </c>
      <c r="V70" s="51" t="str">
        <f>IF(OR(V$2="",COUNT(الرصد!$C70:$Y70)=0),"",IFERROR(SUMIF(معالجة!$B$3:$X$3,V$2,الرصد!$C70:$Y70)/SUMIF(معالجة!$B$3:$X$3,V$2,معالجة!$B$4:$X$4),""))</f>
        <v/>
      </c>
      <c r="W70" s="51" t="str">
        <f>IFERROR(C70/المهارات!$G$27,"")</f>
        <v/>
      </c>
    </row>
    <row r="71" spans="1:23" ht="14.25" customHeight="1">
      <c r="A71" s="42" t="s">
        <v>140</v>
      </c>
      <c r="B71" s="42" t="s">
        <v>20</v>
      </c>
      <c r="C71" s="50" t="str">
        <f>IF(COUNT(الرصد!C71:Y71)=0,"",SUM(الرصد!C71:Y71))</f>
        <v/>
      </c>
      <c r="D71" s="51" t="str">
        <f>IF(OR(D$2="",COUNT(الرصد!$C71:$Y71)=0),"",IFERROR(SUMIF(معالجة!$B$3:$X$3,D$2,الرصد!$C71:$Y71)/SUMIF(معالجة!$B$3:$X$3,D$2,معالجة!$B$4:$X$4),""))</f>
        <v/>
      </c>
      <c r="E71" s="51" t="str">
        <f>IF(OR(E$2="",COUNT(الرصد!$C71:$Y71)=0),"",IFERROR(SUMIF(معالجة!$B$3:$X$3,E$2,الرصد!$C71:$Y71)/SUMIF(معالجة!$B$3:$X$3,E$2,معالجة!$B$4:$X$4),""))</f>
        <v/>
      </c>
      <c r="F71" s="51" t="str">
        <f>IF(OR(F$2="",COUNT(الرصد!$C71:$Y71)=0),"",IFERROR(SUMIF(معالجة!$B$3:$X$3,F$2,الرصد!$C71:$Y71)/SUMIF(معالجة!$B$3:$X$3,F$2,معالجة!$B$4:$X$4),""))</f>
        <v/>
      </c>
      <c r="G71" s="51" t="str">
        <f>IF(OR(G$2="",COUNT(الرصد!$C71:$Y71)=0),"",IFERROR(SUMIF(معالجة!$B$3:$X$3,G$2,الرصد!$C71:$Y71)/SUMIF(معالجة!$B$3:$X$3,G$2,معالجة!$B$4:$X$4),""))</f>
        <v/>
      </c>
      <c r="H71" s="51" t="str">
        <f>IF(OR(H$2="",COUNT(الرصد!$C71:$Y71)=0),"",IFERROR(SUMIF(معالجة!$B$3:$X$3,H$2,الرصد!$C71:$Y71)/SUMIF(معالجة!$B$3:$X$3,H$2,معالجة!$B$4:$X$4),""))</f>
        <v/>
      </c>
      <c r="I71" s="51" t="str">
        <f>IF(OR(I$2="",COUNT(الرصد!$C71:$Y71)=0),"",IFERROR(SUMIF(معالجة!$B$3:$X$3,I$2,الرصد!$C71:$Y71)/SUMIF(معالجة!$B$3:$X$3,I$2,معالجة!$B$4:$X$4),""))</f>
        <v/>
      </c>
      <c r="J71" s="51" t="str">
        <f>IF(OR(J$2="",COUNT(الرصد!$C71:$Y71)=0),"",IFERROR(SUMIF(معالجة!$B$3:$X$3,J$2,الرصد!$C71:$Y71)/SUMIF(معالجة!$B$3:$X$3,J$2,معالجة!$B$4:$X$4),""))</f>
        <v/>
      </c>
      <c r="K71" s="51" t="str">
        <f>IF(OR(K$2="",COUNT(الرصد!$C71:$Y71)=0),"",IFERROR(SUMIF(معالجة!$B$3:$X$3,K$2,الرصد!$C71:$Y71)/SUMIF(معالجة!$B$3:$X$3,K$2,معالجة!$B$4:$X$4),""))</f>
        <v/>
      </c>
      <c r="L71" s="51" t="str">
        <f>IF(OR(L$2="",COUNT(الرصد!$C71:$Y71)=0),"",IFERROR(SUMIF(معالجة!$B$3:$X$3,L$2,الرصد!$C71:$Y71)/SUMIF(معالجة!$B$3:$X$3,L$2,معالجة!$B$4:$X$4),""))</f>
        <v/>
      </c>
      <c r="M71" s="51" t="str">
        <f>IF(OR(M$2="",COUNT(الرصد!$C71:$Y71)=0),"",IFERROR(SUMIF(معالجة!$B$3:$X$3,M$2,الرصد!$C71:$Y71)/SUMIF(معالجة!$B$3:$X$3,M$2,معالجة!$B$4:$X$4),""))</f>
        <v/>
      </c>
      <c r="N71" s="51" t="str">
        <f>IF(OR(N$2="",COUNT(الرصد!$C71:$Y71)=0),"",IFERROR(SUMIF(معالجة!$B$3:$X$3,N$2,الرصد!$C71:$Y71)/SUMIF(معالجة!$B$3:$X$3,N$2,معالجة!$B$4:$X$4),""))</f>
        <v/>
      </c>
      <c r="O71" s="51" t="str">
        <f>IF(OR(O$2="",COUNT(الرصد!$C71:$Y71)=0),"",IFERROR(SUMIF(معالجة!$B$3:$X$3,O$2,الرصد!$C71:$Y71)/SUMIF(معالجة!$B$3:$X$3,O$2,معالجة!$B$4:$X$4),""))</f>
        <v/>
      </c>
      <c r="P71" s="51" t="str">
        <f>IF(OR(P$2="",COUNT(الرصد!$C71:$Y71)=0),"",IFERROR(SUMIF(معالجة!$B$3:$X$3,P$2,الرصد!$C71:$Y71)/SUMIF(معالجة!$B$3:$X$3,P$2,معالجة!$B$4:$X$4),""))</f>
        <v/>
      </c>
      <c r="Q71" s="51" t="str">
        <f>IF(OR(Q$2="",COUNT(الرصد!$C71:$Y71)=0),"",IFERROR(SUMIF(معالجة!$B$3:$X$3,Q$2,الرصد!$C71:$Y71)/SUMIF(معالجة!$B$3:$X$3,Q$2,معالجة!$B$4:$X$4),""))</f>
        <v/>
      </c>
      <c r="R71" s="51" t="str">
        <f>IF(OR(R$2="",COUNT(الرصد!$C71:$Y71)=0),"",IFERROR(SUMIF(معالجة!$B$3:$X$3,R$2,الرصد!$C71:$Y71)/SUMIF(معالجة!$B$3:$X$3,R$2,معالجة!$B$4:$X$4),""))</f>
        <v/>
      </c>
      <c r="S71" s="51" t="str">
        <f>IF(OR(S$2="",COUNT(الرصد!$C71:$Y71)=0),"",IFERROR(SUMIF(معالجة!$B$3:$X$3,S$2,الرصد!$C71:$Y71)/SUMIF(معالجة!$B$3:$X$3,S$2,معالجة!$B$4:$X$4),""))</f>
        <v/>
      </c>
      <c r="T71" s="51" t="str">
        <f>IF(OR(T$2="",COUNT(الرصد!$C71:$Y71)=0),"",IFERROR(SUMIF(معالجة!$B$3:$X$3,T$2,الرصد!$C71:$Y71)/SUMIF(معالجة!$B$3:$X$3,T$2,معالجة!$B$4:$X$4),""))</f>
        <v/>
      </c>
      <c r="U71" s="51" t="str">
        <f>IF(OR(U$2="",COUNT(الرصد!$C71:$Y71)=0),"",IFERROR(SUMIF(معالجة!$B$3:$X$3,U$2,الرصد!$C71:$Y71)/SUMIF(معالجة!$B$3:$X$3,U$2,معالجة!$B$4:$X$4),""))</f>
        <v/>
      </c>
      <c r="V71" s="51" t="str">
        <f>IF(OR(V$2="",COUNT(الرصد!$C71:$Y71)=0),"",IFERROR(SUMIF(معالجة!$B$3:$X$3,V$2,الرصد!$C71:$Y71)/SUMIF(معالجة!$B$3:$X$3,V$2,معالجة!$B$4:$X$4),""))</f>
        <v/>
      </c>
      <c r="W71" s="51" t="str">
        <f>IFERROR(C71/المهارات!$G$27,"")</f>
        <v/>
      </c>
    </row>
    <row r="72" spans="1:23" ht="14.25" customHeight="1">
      <c r="A72" s="46" t="s">
        <v>141</v>
      </c>
      <c r="B72" s="46" t="s">
        <v>20</v>
      </c>
      <c r="C72" s="52" t="str">
        <f>IF(COUNT(الرصد!C72:Y72)=0,"",SUM(الرصد!C72:Y72))</f>
        <v/>
      </c>
      <c r="D72" s="51" t="str">
        <f>IF(OR(D$2="",COUNT(الرصد!$C72:$Y72)=0),"",IFERROR(SUMIF(معالجة!$B$3:$X$3,D$2,الرصد!$C72:$Y72)/SUMIF(معالجة!$B$3:$X$3,D$2,معالجة!$B$4:$X$4),""))</f>
        <v/>
      </c>
      <c r="E72" s="51" t="str">
        <f>IF(OR(E$2="",COUNT(الرصد!$C72:$Y72)=0),"",IFERROR(SUMIF(معالجة!$B$3:$X$3,E$2,الرصد!$C72:$Y72)/SUMIF(معالجة!$B$3:$X$3,E$2,معالجة!$B$4:$X$4),""))</f>
        <v/>
      </c>
      <c r="F72" s="51" t="str">
        <f>IF(OR(F$2="",COUNT(الرصد!$C72:$Y72)=0),"",IFERROR(SUMIF(معالجة!$B$3:$X$3,F$2,الرصد!$C72:$Y72)/SUMIF(معالجة!$B$3:$X$3,F$2,معالجة!$B$4:$X$4),""))</f>
        <v/>
      </c>
      <c r="G72" s="51" t="str">
        <f>IF(OR(G$2="",COUNT(الرصد!$C72:$Y72)=0),"",IFERROR(SUMIF(معالجة!$B$3:$X$3,G$2,الرصد!$C72:$Y72)/SUMIF(معالجة!$B$3:$X$3,G$2,معالجة!$B$4:$X$4),""))</f>
        <v/>
      </c>
      <c r="H72" s="51" t="str">
        <f>IF(OR(H$2="",COUNT(الرصد!$C72:$Y72)=0),"",IFERROR(SUMIF(معالجة!$B$3:$X$3,H$2,الرصد!$C72:$Y72)/SUMIF(معالجة!$B$3:$X$3,H$2,معالجة!$B$4:$X$4),""))</f>
        <v/>
      </c>
      <c r="I72" s="51" t="str">
        <f>IF(OR(I$2="",COUNT(الرصد!$C72:$Y72)=0),"",IFERROR(SUMIF(معالجة!$B$3:$X$3,I$2,الرصد!$C72:$Y72)/SUMIF(معالجة!$B$3:$X$3,I$2,معالجة!$B$4:$X$4),""))</f>
        <v/>
      </c>
      <c r="J72" s="51" t="str">
        <f>IF(OR(J$2="",COUNT(الرصد!$C72:$Y72)=0),"",IFERROR(SUMIF(معالجة!$B$3:$X$3,J$2,الرصد!$C72:$Y72)/SUMIF(معالجة!$B$3:$X$3,J$2,معالجة!$B$4:$X$4),""))</f>
        <v/>
      </c>
      <c r="K72" s="51" t="str">
        <f>IF(OR(K$2="",COUNT(الرصد!$C72:$Y72)=0),"",IFERROR(SUMIF(معالجة!$B$3:$X$3,K$2,الرصد!$C72:$Y72)/SUMIF(معالجة!$B$3:$X$3,K$2,معالجة!$B$4:$X$4),""))</f>
        <v/>
      </c>
      <c r="L72" s="51" t="str">
        <f>IF(OR(L$2="",COUNT(الرصد!$C72:$Y72)=0),"",IFERROR(SUMIF(معالجة!$B$3:$X$3,L$2,الرصد!$C72:$Y72)/SUMIF(معالجة!$B$3:$X$3,L$2,معالجة!$B$4:$X$4),""))</f>
        <v/>
      </c>
      <c r="M72" s="51" t="str">
        <f>IF(OR(M$2="",COUNT(الرصد!$C72:$Y72)=0),"",IFERROR(SUMIF(معالجة!$B$3:$X$3,M$2,الرصد!$C72:$Y72)/SUMIF(معالجة!$B$3:$X$3,M$2,معالجة!$B$4:$X$4),""))</f>
        <v/>
      </c>
      <c r="N72" s="51" t="str">
        <f>IF(OR(N$2="",COUNT(الرصد!$C72:$Y72)=0),"",IFERROR(SUMIF(معالجة!$B$3:$X$3,N$2,الرصد!$C72:$Y72)/SUMIF(معالجة!$B$3:$X$3,N$2,معالجة!$B$4:$X$4),""))</f>
        <v/>
      </c>
      <c r="O72" s="51" t="str">
        <f>IF(OR(O$2="",COUNT(الرصد!$C72:$Y72)=0),"",IFERROR(SUMIF(معالجة!$B$3:$X$3,O$2,الرصد!$C72:$Y72)/SUMIF(معالجة!$B$3:$X$3,O$2,معالجة!$B$4:$X$4),""))</f>
        <v/>
      </c>
      <c r="P72" s="51" t="str">
        <f>IF(OR(P$2="",COUNT(الرصد!$C72:$Y72)=0),"",IFERROR(SUMIF(معالجة!$B$3:$X$3,P$2,الرصد!$C72:$Y72)/SUMIF(معالجة!$B$3:$X$3,P$2,معالجة!$B$4:$X$4),""))</f>
        <v/>
      </c>
      <c r="Q72" s="51" t="str">
        <f>IF(OR(Q$2="",COUNT(الرصد!$C72:$Y72)=0),"",IFERROR(SUMIF(معالجة!$B$3:$X$3,Q$2,الرصد!$C72:$Y72)/SUMIF(معالجة!$B$3:$X$3,Q$2,معالجة!$B$4:$X$4),""))</f>
        <v/>
      </c>
      <c r="R72" s="51" t="str">
        <f>IF(OR(R$2="",COUNT(الرصد!$C72:$Y72)=0),"",IFERROR(SUMIF(معالجة!$B$3:$X$3,R$2,الرصد!$C72:$Y72)/SUMIF(معالجة!$B$3:$X$3,R$2,معالجة!$B$4:$X$4),""))</f>
        <v/>
      </c>
      <c r="S72" s="51" t="str">
        <f>IF(OR(S$2="",COUNT(الرصد!$C72:$Y72)=0),"",IFERROR(SUMIF(معالجة!$B$3:$X$3,S$2,الرصد!$C72:$Y72)/SUMIF(معالجة!$B$3:$X$3,S$2,معالجة!$B$4:$X$4),""))</f>
        <v/>
      </c>
      <c r="T72" s="51" t="str">
        <f>IF(OR(T$2="",COUNT(الرصد!$C72:$Y72)=0),"",IFERROR(SUMIF(معالجة!$B$3:$X$3,T$2,الرصد!$C72:$Y72)/SUMIF(معالجة!$B$3:$X$3,T$2,معالجة!$B$4:$X$4),""))</f>
        <v/>
      </c>
      <c r="U72" s="51" t="str">
        <f>IF(OR(U$2="",COUNT(الرصد!$C72:$Y72)=0),"",IFERROR(SUMIF(معالجة!$B$3:$X$3,U$2,الرصد!$C72:$Y72)/SUMIF(معالجة!$B$3:$X$3,U$2,معالجة!$B$4:$X$4),""))</f>
        <v/>
      </c>
      <c r="V72" s="51" t="str">
        <f>IF(OR(V$2="",COUNT(الرصد!$C72:$Y72)=0),"",IFERROR(SUMIF(معالجة!$B$3:$X$3,V$2,الرصد!$C72:$Y72)/SUMIF(معالجة!$B$3:$X$3,V$2,معالجة!$B$4:$X$4),""))</f>
        <v/>
      </c>
      <c r="W72" s="51" t="str">
        <f>IFERROR(C72/المهارات!$G$27,"")</f>
        <v/>
      </c>
    </row>
    <row r="73" spans="1:23" ht="14.25" customHeight="1">
      <c r="A73" s="42" t="s">
        <v>142</v>
      </c>
      <c r="B73" s="42" t="s">
        <v>20</v>
      </c>
      <c r="C73" s="50" t="str">
        <f>IF(COUNT(الرصد!C73:Y73)=0,"",SUM(الرصد!C73:Y73))</f>
        <v/>
      </c>
      <c r="D73" s="51" t="str">
        <f>IF(OR(D$2="",COUNT(الرصد!$C73:$Y73)=0),"",IFERROR(SUMIF(معالجة!$B$3:$X$3,D$2,الرصد!$C73:$Y73)/SUMIF(معالجة!$B$3:$X$3,D$2,معالجة!$B$4:$X$4),""))</f>
        <v/>
      </c>
      <c r="E73" s="51" t="str">
        <f>IF(OR(E$2="",COUNT(الرصد!$C73:$Y73)=0),"",IFERROR(SUMIF(معالجة!$B$3:$X$3,E$2,الرصد!$C73:$Y73)/SUMIF(معالجة!$B$3:$X$3,E$2,معالجة!$B$4:$X$4),""))</f>
        <v/>
      </c>
      <c r="F73" s="51" t="str">
        <f>IF(OR(F$2="",COUNT(الرصد!$C73:$Y73)=0),"",IFERROR(SUMIF(معالجة!$B$3:$X$3,F$2,الرصد!$C73:$Y73)/SUMIF(معالجة!$B$3:$X$3,F$2,معالجة!$B$4:$X$4),""))</f>
        <v/>
      </c>
      <c r="G73" s="51" t="str">
        <f>IF(OR(G$2="",COUNT(الرصد!$C73:$Y73)=0),"",IFERROR(SUMIF(معالجة!$B$3:$X$3,G$2,الرصد!$C73:$Y73)/SUMIF(معالجة!$B$3:$X$3,G$2,معالجة!$B$4:$X$4),""))</f>
        <v/>
      </c>
      <c r="H73" s="51" t="str">
        <f>IF(OR(H$2="",COUNT(الرصد!$C73:$Y73)=0),"",IFERROR(SUMIF(معالجة!$B$3:$X$3,H$2,الرصد!$C73:$Y73)/SUMIF(معالجة!$B$3:$X$3,H$2,معالجة!$B$4:$X$4),""))</f>
        <v/>
      </c>
      <c r="I73" s="51" t="str">
        <f>IF(OR(I$2="",COUNT(الرصد!$C73:$Y73)=0),"",IFERROR(SUMIF(معالجة!$B$3:$X$3,I$2,الرصد!$C73:$Y73)/SUMIF(معالجة!$B$3:$X$3,I$2,معالجة!$B$4:$X$4),""))</f>
        <v/>
      </c>
      <c r="J73" s="51" t="str">
        <f>IF(OR(J$2="",COUNT(الرصد!$C73:$Y73)=0),"",IFERROR(SUMIF(معالجة!$B$3:$X$3,J$2,الرصد!$C73:$Y73)/SUMIF(معالجة!$B$3:$X$3,J$2,معالجة!$B$4:$X$4),""))</f>
        <v/>
      </c>
      <c r="K73" s="51" t="str">
        <f>IF(OR(K$2="",COUNT(الرصد!$C73:$Y73)=0),"",IFERROR(SUMIF(معالجة!$B$3:$X$3,K$2,الرصد!$C73:$Y73)/SUMIF(معالجة!$B$3:$X$3,K$2,معالجة!$B$4:$X$4),""))</f>
        <v/>
      </c>
      <c r="L73" s="51" t="str">
        <f>IF(OR(L$2="",COUNT(الرصد!$C73:$Y73)=0),"",IFERROR(SUMIF(معالجة!$B$3:$X$3,L$2,الرصد!$C73:$Y73)/SUMIF(معالجة!$B$3:$X$3,L$2,معالجة!$B$4:$X$4),""))</f>
        <v/>
      </c>
      <c r="M73" s="51" t="str">
        <f>IF(OR(M$2="",COUNT(الرصد!$C73:$Y73)=0),"",IFERROR(SUMIF(معالجة!$B$3:$X$3,M$2,الرصد!$C73:$Y73)/SUMIF(معالجة!$B$3:$X$3,M$2,معالجة!$B$4:$X$4),""))</f>
        <v/>
      </c>
      <c r="N73" s="51" t="str">
        <f>IF(OR(N$2="",COUNT(الرصد!$C73:$Y73)=0),"",IFERROR(SUMIF(معالجة!$B$3:$X$3,N$2,الرصد!$C73:$Y73)/SUMIF(معالجة!$B$3:$X$3,N$2,معالجة!$B$4:$X$4),""))</f>
        <v/>
      </c>
      <c r="O73" s="51" t="str">
        <f>IF(OR(O$2="",COUNT(الرصد!$C73:$Y73)=0),"",IFERROR(SUMIF(معالجة!$B$3:$X$3,O$2,الرصد!$C73:$Y73)/SUMIF(معالجة!$B$3:$X$3,O$2,معالجة!$B$4:$X$4),""))</f>
        <v/>
      </c>
      <c r="P73" s="51" t="str">
        <f>IF(OR(P$2="",COUNT(الرصد!$C73:$Y73)=0),"",IFERROR(SUMIF(معالجة!$B$3:$X$3,P$2,الرصد!$C73:$Y73)/SUMIF(معالجة!$B$3:$X$3,P$2,معالجة!$B$4:$X$4),""))</f>
        <v/>
      </c>
      <c r="Q73" s="51" t="str">
        <f>IF(OR(Q$2="",COUNT(الرصد!$C73:$Y73)=0),"",IFERROR(SUMIF(معالجة!$B$3:$X$3,Q$2,الرصد!$C73:$Y73)/SUMIF(معالجة!$B$3:$X$3,Q$2,معالجة!$B$4:$X$4),""))</f>
        <v/>
      </c>
      <c r="R73" s="51" t="str">
        <f>IF(OR(R$2="",COUNT(الرصد!$C73:$Y73)=0),"",IFERROR(SUMIF(معالجة!$B$3:$X$3,R$2,الرصد!$C73:$Y73)/SUMIF(معالجة!$B$3:$X$3,R$2,معالجة!$B$4:$X$4),""))</f>
        <v/>
      </c>
      <c r="S73" s="51" t="str">
        <f>IF(OR(S$2="",COUNT(الرصد!$C73:$Y73)=0),"",IFERROR(SUMIF(معالجة!$B$3:$X$3,S$2,الرصد!$C73:$Y73)/SUMIF(معالجة!$B$3:$X$3,S$2,معالجة!$B$4:$X$4),""))</f>
        <v/>
      </c>
      <c r="T73" s="51" t="str">
        <f>IF(OR(T$2="",COUNT(الرصد!$C73:$Y73)=0),"",IFERROR(SUMIF(معالجة!$B$3:$X$3,T$2,الرصد!$C73:$Y73)/SUMIF(معالجة!$B$3:$X$3,T$2,معالجة!$B$4:$X$4),""))</f>
        <v/>
      </c>
      <c r="U73" s="51" t="str">
        <f>IF(OR(U$2="",COUNT(الرصد!$C73:$Y73)=0),"",IFERROR(SUMIF(معالجة!$B$3:$X$3,U$2,الرصد!$C73:$Y73)/SUMIF(معالجة!$B$3:$X$3,U$2,معالجة!$B$4:$X$4),""))</f>
        <v/>
      </c>
      <c r="V73" s="51" t="str">
        <f>IF(OR(V$2="",COUNT(الرصد!$C73:$Y73)=0),"",IFERROR(SUMIF(معالجة!$B$3:$X$3,V$2,الرصد!$C73:$Y73)/SUMIF(معالجة!$B$3:$X$3,V$2,معالجة!$B$4:$X$4),""))</f>
        <v/>
      </c>
      <c r="W73" s="51" t="str">
        <f>IFERROR(C73/المهارات!$G$27,"")</f>
        <v/>
      </c>
    </row>
    <row r="74" spans="1:23" ht="14.25" customHeight="1">
      <c r="A74" s="46" t="s">
        <v>143</v>
      </c>
      <c r="B74" s="46" t="s">
        <v>20</v>
      </c>
      <c r="C74" s="52" t="str">
        <f>IF(COUNT(الرصد!C74:Y74)=0,"",SUM(الرصد!C74:Y74))</f>
        <v/>
      </c>
      <c r="D74" s="51" t="str">
        <f>IF(OR(D$2="",COUNT(الرصد!$C74:$Y74)=0),"",IFERROR(SUMIF(معالجة!$B$3:$X$3,D$2,الرصد!$C74:$Y74)/SUMIF(معالجة!$B$3:$X$3,D$2,معالجة!$B$4:$X$4),""))</f>
        <v/>
      </c>
      <c r="E74" s="51" t="str">
        <f>IF(OR(E$2="",COUNT(الرصد!$C74:$Y74)=0),"",IFERROR(SUMIF(معالجة!$B$3:$X$3,E$2,الرصد!$C74:$Y74)/SUMIF(معالجة!$B$3:$X$3,E$2,معالجة!$B$4:$X$4),""))</f>
        <v/>
      </c>
      <c r="F74" s="51" t="str">
        <f>IF(OR(F$2="",COUNT(الرصد!$C74:$Y74)=0),"",IFERROR(SUMIF(معالجة!$B$3:$X$3,F$2,الرصد!$C74:$Y74)/SUMIF(معالجة!$B$3:$X$3,F$2,معالجة!$B$4:$X$4),""))</f>
        <v/>
      </c>
      <c r="G74" s="51" t="str">
        <f>IF(OR(G$2="",COUNT(الرصد!$C74:$Y74)=0),"",IFERROR(SUMIF(معالجة!$B$3:$X$3,G$2,الرصد!$C74:$Y74)/SUMIF(معالجة!$B$3:$X$3,G$2,معالجة!$B$4:$X$4),""))</f>
        <v/>
      </c>
      <c r="H74" s="51" t="str">
        <f>IF(OR(H$2="",COUNT(الرصد!$C74:$Y74)=0),"",IFERROR(SUMIF(معالجة!$B$3:$X$3,H$2,الرصد!$C74:$Y74)/SUMIF(معالجة!$B$3:$X$3,H$2,معالجة!$B$4:$X$4),""))</f>
        <v/>
      </c>
      <c r="I74" s="51" t="str">
        <f>IF(OR(I$2="",COUNT(الرصد!$C74:$Y74)=0),"",IFERROR(SUMIF(معالجة!$B$3:$X$3,I$2,الرصد!$C74:$Y74)/SUMIF(معالجة!$B$3:$X$3,I$2,معالجة!$B$4:$X$4),""))</f>
        <v/>
      </c>
      <c r="J74" s="51" t="str">
        <f>IF(OR(J$2="",COUNT(الرصد!$C74:$Y74)=0),"",IFERROR(SUMIF(معالجة!$B$3:$X$3,J$2,الرصد!$C74:$Y74)/SUMIF(معالجة!$B$3:$X$3,J$2,معالجة!$B$4:$X$4),""))</f>
        <v/>
      </c>
      <c r="K74" s="51" t="str">
        <f>IF(OR(K$2="",COUNT(الرصد!$C74:$Y74)=0),"",IFERROR(SUMIF(معالجة!$B$3:$X$3,K$2,الرصد!$C74:$Y74)/SUMIF(معالجة!$B$3:$X$3,K$2,معالجة!$B$4:$X$4),""))</f>
        <v/>
      </c>
      <c r="L74" s="51" t="str">
        <f>IF(OR(L$2="",COUNT(الرصد!$C74:$Y74)=0),"",IFERROR(SUMIF(معالجة!$B$3:$X$3,L$2,الرصد!$C74:$Y74)/SUMIF(معالجة!$B$3:$X$3,L$2,معالجة!$B$4:$X$4),""))</f>
        <v/>
      </c>
      <c r="M74" s="51" t="str">
        <f>IF(OR(M$2="",COUNT(الرصد!$C74:$Y74)=0),"",IFERROR(SUMIF(معالجة!$B$3:$X$3,M$2,الرصد!$C74:$Y74)/SUMIF(معالجة!$B$3:$X$3,M$2,معالجة!$B$4:$X$4),""))</f>
        <v/>
      </c>
      <c r="N74" s="51" t="str">
        <f>IF(OR(N$2="",COUNT(الرصد!$C74:$Y74)=0),"",IFERROR(SUMIF(معالجة!$B$3:$X$3,N$2,الرصد!$C74:$Y74)/SUMIF(معالجة!$B$3:$X$3,N$2,معالجة!$B$4:$X$4),""))</f>
        <v/>
      </c>
      <c r="O74" s="51" t="str">
        <f>IF(OR(O$2="",COUNT(الرصد!$C74:$Y74)=0),"",IFERROR(SUMIF(معالجة!$B$3:$X$3,O$2,الرصد!$C74:$Y74)/SUMIF(معالجة!$B$3:$X$3,O$2,معالجة!$B$4:$X$4),""))</f>
        <v/>
      </c>
      <c r="P74" s="51" t="str">
        <f>IF(OR(P$2="",COUNT(الرصد!$C74:$Y74)=0),"",IFERROR(SUMIF(معالجة!$B$3:$X$3,P$2,الرصد!$C74:$Y74)/SUMIF(معالجة!$B$3:$X$3,P$2,معالجة!$B$4:$X$4),""))</f>
        <v/>
      </c>
      <c r="Q74" s="51" t="str">
        <f>IF(OR(Q$2="",COUNT(الرصد!$C74:$Y74)=0),"",IFERROR(SUMIF(معالجة!$B$3:$X$3,Q$2,الرصد!$C74:$Y74)/SUMIF(معالجة!$B$3:$X$3,Q$2,معالجة!$B$4:$X$4),""))</f>
        <v/>
      </c>
      <c r="R74" s="51" t="str">
        <f>IF(OR(R$2="",COUNT(الرصد!$C74:$Y74)=0),"",IFERROR(SUMIF(معالجة!$B$3:$X$3,R$2,الرصد!$C74:$Y74)/SUMIF(معالجة!$B$3:$X$3,R$2,معالجة!$B$4:$X$4),""))</f>
        <v/>
      </c>
      <c r="S74" s="51" t="str">
        <f>IF(OR(S$2="",COUNT(الرصد!$C74:$Y74)=0),"",IFERROR(SUMIF(معالجة!$B$3:$X$3,S$2,الرصد!$C74:$Y74)/SUMIF(معالجة!$B$3:$X$3,S$2,معالجة!$B$4:$X$4),""))</f>
        <v/>
      </c>
      <c r="T74" s="51" t="str">
        <f>IF(OR(T$2="",COUNT(الرصد!$C74:$Y74)=0),"",IFERROR(SUMIF(معالجة!$B$3:$X$3,T$2,الرصد!$C74:$Y74)/SUMIF(معالجة!$B$3:$X$3,T$2,معالجة!$B$4:$X$4),""))</f>
        <v/>
      </c>
      <c r="U74" s="51" t="str">
        <f>IF(OR(U$2="",COUNT(الرصد!$C74:$Y74)=0),"",IFERROR(SUMIF(معالجة!$B$3:$X$3,U$2,الرصد!$C74:$Y74)/SUMIF(معالجة!$B$3:$X$3,U$2,معالجة!$B$4:$X$4),""))</f>
        <v/>
      </c>
      <c r="V74" s="51" t="str">
        <f>IF(OR(V$2="",COUNT(الرصد!$C74:$Y74)=0),"",IFERROR(SUMIF(معالجة!$B$3:$X$3,V$2,الرصد!$C74:$Y74)/SUMIF(معالجة!$B$3:$X$3,V$2,معالجة!$B$4:$X$4),""))</f>
        <v/>
      </c>
      <c r="W74" s="51" t="str">
        <f>IFERROR(C74/المهارات!$G$27,"")</f>
        <v/>
      </c>
    </row>
    <row r="75" spans="1:23" ht="14.25" customHeight="1">
      <c r="A75" s="42" t="s">
        <v>144</v>
      </c>
      <c r="B75" s="42" t="s">
        <v>20</v>
      </c>
      <c r="C75" s="50" t="str">
        <f>IF(COUNT(الرصد!C75:Y75)=0,"",SUM(الرصد!C75:Y75))</f>
        <v/>
      </c>
      <c r="D75" s="51" t="str">
        <f>IF(OR(D$2="",COUNT(الرصد!$C75:$Y75)=0),"",IFERROR(SUMIF(معالجة!$B$3:$X$3,D$2,الرصد!$C75:$Y75)/SUMIF(معالجة!$B$3:$X$3,D$2,معالجة!$B$4:$X$4),""))</f>
        <v/>
      </c>
      <c r="E75" s="51" t="str">
        <f>IF(OR(E$2="",COUNT(الرصد!$C75:$Y75)=0),"",IFERROR(SUMIF(معالجة!$B$3:$X$3,E$2,الرصد!$C75:$Y75)/SUMIF(معالجة!$B$3:$X$3,E$2,معالجة!$B$4:$X$4),""))</f>
        <v/>
      </c>
      <c r="F75" s="51" t="str">
        <f>IF(OR(F$2="",COUNT(الرصد!$C75:$Y75)=0),"",IFERROR(SUMIF(معالجة!$B$3:$X$3,F$2,الرصد!$C75:$Y75)/SUMIF(معالجة!$B$3:$X$3,F$2,معالجة!$B$4:$X$4),""))</f>
        <v/>
      </c>
      <c r="G75" s="51" t="str">
        <f>IF(OR(G$2="",COUNT(الرصد!$C75:$Y75)=0),"",IFERROR(SUMIF(معالجة!$B$3:$X$3,G$2,الرصد!$C75:$Y75)/SUMIF(معالجة!$B$3:$X$3,G$2,معالجة!$B$4:$X$4),""))</f>
        <v/>
      </c>
      <c r="H75" s="51" t="str">
        <f>IF(OR(H$2="",COUNT(الرصد!$C75:$Y75)=0),"",IFERROR(SUMIF(معالجة!$B$3:$X$3,H$2,الرصد!$C75:$Y75)/SUMIF(معالجة!$B$3:$X$3,H$2,معالجة!$B$4:$X$4),""))</f>
        <v/>
      </c>
      <c r="I75" s="51" t="str">
        <f>IF(OR(I$2="",COUNT(الرصد!$C75:$Y75)=0),"",IFERROR(SUMIF(معالجة!$B$3:$X$3,I$2,الرصد!$C75:$Y75)/SUMIF(معالجة!$B$3:$X$3,I$2,معالجة!$B$4:$X$4),""))</f>
        <v/>
      </c>
      <c r="J75" s="51" t="str">
        <f>IF(OR(J$2="",COUNT(الرصد!$C75:$Y75)=0),"",IFERROR(SUMIF(معالجة!$B$3:$X$3,J$2,الرصد!$C75:$Y75)/SUMIF(معالجة!$B$3:$X$3,J$2,معالجة!$B$4:$X$4),""))</f>
        <v/>
      </c>
      <c r="K75" s="51" t="str">
        <f>IF(OR(K$2="",COUNT(الرصد!$C75:$Y75)=0),"",IFERROR(SUMIF(معالجة!$B$3:$X$3,K$2,الرصد!$C75:$Y75)/SUMIF(معالجة!$B$3:$X$3,K$2,معالجة!$B$4:$X$4),""))</f>
        <v/>
      </c>
      <c r="L75" s="51" t="str">
        <f>IF(OR(L$2="",COUNT(الرصد!$C75:$Y75)=0),"",IFERROR(SUMIF(معالجة!$B$3:$X$3,L$2,الرصد!$C75:$Y75)/SUMIF(معالجة!$B$3:$X$3,L$2,معالجة!$B$4:$X$4),""))</f>
        <v/>
      </c>
      <c r="M75" s="51" t="str">
        <f>IF(OR(M$2="",COUNT(الرصد!$C75:$Y75)=0),"",IFERROR(SUMIF(معالجة!$B$3:$X$3,M$2,الرصد!$C75:$Y75)/SUMIF(معالجة!$B$3:$X$3,M$2,معالجة!$B$4:$X$4),""))</f>
        <v/>
      </c>
      <c r="N75" s="51" t="str">
        <f>IF(OR(N$2="",COUNT(الرصد!$C75:$Y75)=0),"",IFERROR(SUMIF(معالجة!$B$3:$X$3,N$2,الرصد!$C75:$Y75)/SUMIF(معالجة!$B$3:$X$3,N$2,معالجة!$B$4:$X$4),""))</f>
        <v/>
      </c>
      <c r="O75" s="51" t="str">
        <f>IF(OR(O$2="",COUNT(الرصد!$C75:$Y75)=0),"",IFERROR(SUMIF(معالجة!$B$3:$X$3,O$2,الرصد!$C75:$Y75)/SUMIF(معالجة!$B$3:$X$3,O$2,معالجة!$B$4:$X$4),""))</f>
        <v/>
      </c>
      <c r="P75" s="51" t="str">
        <f>IF(OR(P$2="",COUNT(الرصد!$C75:$Y75)=0),"",IFERROR(SUMIF(معالجة!$B$3:$X$3,P$2,الرصد!$C75:$Y75)/SUMIF(معالجة!$B$3:$X$3,P$2,معالجة!$B$4:$X$4),""))</f>
        <v/>
      </c>
      <c r="Q75" s="51" t="str">
        <f>IF(OR(Q$2="",COUNT(الرصد!$C75:$Y75)=0),"",IFERROR(SUMIF(معالجة!$B$3:$X$3,Q$2,الرصد!$C75:$Y75)/SUMIF(معالجة!$B$3:$X$3,Q$2,معالجة!$B$4:$X$4),""))</f>
        <v/>
      </c>
      <c r="R75" s="51" t="str">
        <f>IF(OR(R$2="",COUNT(الرصد!$C75:$Y75)=0),"",IFERROR(SUMIF(معالجة!$B$3:$X$3,R$2,الرصد!$C75:$Y75)/SUMIF(معالجة!$B$3:$X$3,R$2,معالجة!$B$4:$X$4),""))</f>
        <v/>
      </c>
      <c r="S75" s="51" t="str">
        <f>IF(OR(S$2="",COUNT(الرصد!$C75:$Y75)=0),"",IFERROR(SUMIF(معالجة!$B$3:$X$3,S$2,الرصد!$C75:$Y75)/SUMIF(معالجة!$B$3:$X$3,S$2,معالجة!$B$4:$X$4),""))</f>
        <v/>
      </c>
      <c r="T75" s="51" t="str">
        <f>IF(OR(T$2="",COUNT(الرصد!$C75:$Y75)=0),"",IFERROR(SUMIF(معالجة!$B$3:$X$3,T$2,الرصد!$C75:$Y75)/SUMIF(معالجة!$B$3:$X$3,T$2,معالجة!$B$4:$X$4),""))</f>
        <v/>
      </c>
      <c r="U75" s="51" t="str">
        <f>IF(OR(U$2="",COUNT(الرصد!$C75:$Y75)=0),"",IFERROR(SUMIF(معالجة!$B$3:$X$3,U$2,الرصد!$C75:$Y75)/SUMIF(معالجة!$B$3:$X$3,U$2,معالجة!$B$4:$X$4),""))</f>
        <v/>
      </c>
      <c r="V75" s="51" t="str">
        <f>IF(OR(V$2="",COUNT(الرصد!$C75:$Y75)=0),"",IFERROR(SUMIF(معالجة!$B$3:$X$3,V$2,الرصد!$C75:$Y75)/SUMIF(معالجة!$B$3:$X$3,V$2,معالجة!$B$4:$X$4),""))</f>
        <v/>
      </c>
      <c r="W75" s="51" t="str">
        <f>IFERROR(C75/المهارات!$G$27,"")</f>
        <v/>
      </c>
    </row>
    <row r="76" spans="1:23" ht="14.25" customHeight="1">
      <c r="A76" s="46" t="s">
        <v>145</v>
      </c>
      <c r="B76" s="46" t="s">
        <v>20</v>
      </c>
      <c r="C76" s="52" t="str">
        <f>IF(COUNT(الرصد!C76:Y76)=0,"",SUM(الرصد!C76:Y76))</f>
        <v/>
      </c>
      <c r="D76" s="51" t="str">
        <f>IF(OR(D$2="",COUNT(الرصد!$C76:$Y76)=0),"",IFERROR(SUMIF(معالجة!$B$3:$X$3,D$2,الرصد!$C76:$Y76)/SUMIF(معالجة!$B$3:$X$3,D$2,معالجة!$B$4:$X$4),""))</f>
        <v/>
      </c>
      <c r="E76" s="51" t="str">
        <f>IF(OR(E$2="",COUNT(الرصد!$C76:$Y76)=0),"",IFERROR(SUMIF(معالجة!$B$3:$X$3,E$2,الرصد!$C76:$Y76)/SUMIF(معالجة!$B$3:$X$3,E$2,معالجة!$B$4:$X$4),""))</f>
        <v/>
      </c>
      <c r="F76" s="51" t="str">
        <f>IF(OR(F$2="",COUNT(الرصد!$C76:$Y76)=0),"",IFERROR(SUMIF(معالجة!$B$3:$X$3,F$2,الرصد!$C76:$Y76)/SUMIF(معالجة!$B$3:$X$3,F$2,معالجة!$B$4:$X$4),""))</f>
        <v/>
      </c>
      <c r="G76" s="51" t="str">
        <f>IF(OR(G$2="",COUNT(الرصد!$C76:$Y76)=0),"",IFERROR(SUMIF(معالجة!$B$3:$X$3,G$2,الرصد!$C76:$Y76)/SUMIF(معالجة!$B$3:$X$3,G$2,معالجة!$B$4:$X$4),""))</f>
        <v/>
      </c>
      <c r="H76" s="51" t="str">
        <f>IF(OR(H$2="",COUNT(الرصد!$C76:$Y76)=0),"",IFERROR(SUMIF(معالجة!$B$3:$X$3,H$2,الرصد!$C76:$Y76)/SUMIF(معالجة!$B$3:$X$3,H$2,معالجة!$B$4:$X$4),""))</f>
        <v/>
      </c>
      <c r="I76" s="51" t="str">
        <f>IF(OR(I$2="",COUNT(الرصد!$C76:$Y76)=0),"",IFERROR(SUMIF(معالجة!$B$3:$X$3,I$2,الرصد!$C76:$Y76)/SUMIF(معالجة!$B$3:$X$3,I$2,معالجة!$B$4:$X$4),""))</f>
        <v/>
      </c>
      <c r="J76" s="51" t="str">
        <f>IF(OR(J$2="",COUNT(الرصد!$C76:$Y76)=0),"",IFERROR(SUMIF(معالجة!$B$3:$X$3,J$2,الرصد!$C76:$Y76)/SUMIF(معالجة!$B$3:$X$3,J$2,معالجة!$B$4:$X$4),""))</f>
        <v/>
      </c>
      <c r="K76" s="51" t="str">
        <f>IF(OR(K$2="",COUNT(الرصد!$C76:$Y76)=0),"",IFERROR(SUMIF(معالجة!$B$3:$X$3,K$2,الرصد!$C76:$Y76)/SUMIF(معالجة!$B$3:$X$3,K$2,معالجة!$B$4:$X$4),""))</f>
        <v/>
      </c>
      <c r="L76" s="51" t="str">
        <f>IF(OR(L$2="",COUNT(الرصد!$C76:$Y76)=0),"",IFERROR(SUMIF(معالجة!$B$3:$X$3,L$2,الرصد!$C76:$Y76)/SUMIF(معالجة!$B$3:$X$3,L$2,معالجة!$B$4:$X$4),""))</f>
        <v/>
      </c>
      <c r="M76" s="51" t="str">
        <f>IF(OR(M$2="",COUNT(الرصد!$C76:$Y76)=0),"",IFERROR(SUMIF(معالجة!$B$3:$X$3,M$2,الرصد!$C76:$Y76)/SUMIF(معالجة!$B$3:$X$3,M$2,معالجة!$B$4:$X$4),""))</f>
        <v/>
      </c>
      <c r="N76" s="51" t="str">
        <f>IF(OR(N$2="",COUNT(الرصد!$C76:$Y76)=0),"",IFERROR(SUMIF(معالجة!$B$3:$X$3,N$2,الرصد!$C76:$Y76)/SUMIF(معالجة!$B$3:$X$3,N$2,معالجة!$B$4:$X$4),""))</f>
        <v/>
      </c>
      <c r="O76" s="51" t="str">
        <f>IF(OR(O$2="",COUNT(الرصد!$C76:$Y76)=0),"",IFERROR(SUMIF(معالجة!$B$3:$X$3,O$2,الرصد!$C76:$Y76)/SUMIF(معالجة!$B$3:$X$3,O$2,معالجة!$B$4:$X$4),""))</f>
        <v/>
      </c>
      <c r="P76" s="51" t="str">
        <f>IF(OR(P$2="",COUNT(الرصد!$C76:$Y76)=0),"",IFERROR(SUMIF(معالجة!$B$3:$X$3,P$2,الرصد!$C76:$Y76)/SUMIF(معالجة!$B$3:$X$3,P$2,معالجة!$B$4:$X$4),""))</f>
        <v/>
      </c>
      <c r="Q76" s="51" t="str">
        <f>IF(OR(Q$2="",COUNT(الرصد!$C76:$Y76)=0),"",IFERROR(SUMIF(معالجة!$B$3:$X$3,Q$2,الرصد!$C76:$Y76)/SUMIF(معالجة!$B$3:$X$3,Q$2,معالجة!$B$4:$X$4),""))</f>
        <v/>
      </c>
      <c r="R76" s="51" t="str">
        <f>IF(OR(R$2="",COUNT(الرصد!$C76:$Y76)=0),"",IFERROR(SUMIF(معالجة!$B$3:$X$3,R$2,الرصد!$C76:$Y76)/SUMIF(معالجة!$B$3:$X$3,R$2,معالجة!$B$4:$X$4),""))</f>
        <v/>
      </c>
      <c r="S76" s="51" t="str">
        <f>IF(OR(S$2="",COUNT(الرصد!$C76:$Y76)=0),"",IFERROR(SUMIF(معالجة!$B$3:$X$3,S$2,الرصد!$C76:$Y76)/SUMIF(معالجة!$B$3:$X$3,S$2,معالجة!$B$4:$X$4),""))</f>
        <v/>
      </c>
      <c r="T76" s="51" t="str">
        <f>IF(OR(T$2="",COUNT(الرصد!$C76:$Y76)=0),"",IFERROR(SUMIF(معالجة!$B$3:$X$3,T$2,الرصد!$C76:$Y76)/SUMIF(معالجة!$B$3:$X$3,T$2,معالجة!$B$4:$X$4),""))</f>
        <v/>
      </c>
      <c r="U76" s="51" t="str">
        <f>IF(OR(U$2="",COUNT(الرصد!$C76:$Y76)=0),"",IFERROR(SUMIF(معالجة!$B$3:$X$3,U$2,الرصد!$C76:$Y76)/SUMIF(معالجة!$B$3:$X$3,U$2,معالجة!$B$4:$X$4),""))</f>
        <v/>
      </c>
      <c r="V76" s="51" t="str">
        <f>IF(OR(V$2="",COUNT(الرصد!$C76:$Y76)=0),"",IFERROR(SUMIF(معالجة!$B$3:$X$3,V$2,الرصد!$C76:$Y76)/SUMIF(معالجة!$B$3:$X$3,V$2,معالجة!$B$4:$X$4),""))</f>
        <v/>
      </c>
      <c r="W76" s="51" t="str">
        <f>IFERROR(C76/المهارات!$G$27,"")</f>
        <v/>
      </c>
    </row>
    <row r="77" spans="1:23" ht="14.25" customHeight="1">
      <c r="A77" s="42" t="s">
        <v>146</v>
      </c>
      <c r="B77" s="42" t="s">
        <v>20</v>
      </c>
      <c r="C77" s="50" t="str">
        <f>IF(COUNT(الرصد!C77:Y77)=0,"",SUM(الرصد!C77:Y77))</f>
        <v/>
      </c>
      <c r="D77" s="51" t="str">
        <f>IF(OR(D$2="",COUNT(الرصد!$C77:$Y77)=0),"",IFERROR(SUMIF(معالجة!$B$3:$X$3,D$2,الرصد!$C77:$Y77)/SUMIF(معالجة!$B$3:$X$3,D$2,معالجة!$B$4:$X$4),""))</f>
        <v/>
      </c>
      <c r="E77" s="51" t="str">
        <f>IF(OR(E$2="",COUNT(الرصد!$C77:$Y77)=0),"",IFERROR(SUMIF(معالجة!$B$3:$X$3,E$2,الرصد!$C77:$Y77)/SUMIF(معالجة!$B$3:$X$3,E$2,معالجة!$B$4:$X$4),""))</f>
        <v/>
      </c>
      <c r="F77" s="51" t="str">
        <f>IF(OR(F$2="",COUNT(الرصد!$C77:$Y77)=0),"",IFERROR(SUMIF(معالجة!$B$3:$X$3,F$2,الرصد!$C77:$Y77)/SUMIF(معالجة!$B$3:$X$3,F$2,معالجة!$B$4:$X$4),""))</f>
        <v/>
      </c>
      <c r="G77" s="51" t="str">
        <f>IF(OR(G$2="",COUNT(الرصد!$C77:$Y77)=0),"",IFERROR(SUMIF(معالجة!$B$3:$X$3,G$2,الرصد!$C77:$Y77)/SUMIF(معالجة!$B$3:$X$3,G$2,معالجة!$B$4:$X$4),""))</f>
        <v/>
      </c>
      <c r="H77" s="51" t="str">
        <f>IF(OR(H$2="",COUNT(الرصد!$C77:$Y77)=0),"",IFERROR(SUMIF(معالجة!$B$3:$X$3,H$2,الرصد!$C77:$Y77)/SUMIF(معالجة!$B$3:$X$3,H$2,معالجة!$B$4:$X$4),""))</f>
        <v/>
      </c>
      <c r="I77" s="51" t="str">
        <f>IF(OR(I$2="",COUNT(الرصد!$C77:$Y77)=0),"",IFERROR(SUMIF(معالجة!$B$3:$X$3,I$2,الرصد!$C77:$Y77)/SUMIF(معالجة!$B$3:$X$3,I$2,معالجة!$B$4:$X$4),""))</f>
        <v/>
      </c>
      <c r="J77" s="51" t="str">
        <f>IF(OR(J$2="",COUNT(الرصد!$C77:$Y77)=0),"",IFERROR(SUMIF(معالجة!$B$3:$X$3,J$2,الرصد!$C77:$Y77)/SUMIF(معالجة!$B$3:$X$3,J$2,معالجة!$B$4:$X$4),""))</f>
        <v/>
      </c>
      <c r="K77" s="51" t="str">
        <f>IF(OR(K$2="",COUNT(الرصد!$C77:$Y77)=0),"",IFERROR(SUMIF(معالجة!$B$3:$X$3,K$2,الرصد!$C77:$Y77)/SUMIF(معالجة!$B$3:$X$3,K$2,معالجة!$B$4:$X$4),""))</f>
        <v/>
      </c>
      <c r="L77" s="51" t="str">
        <f>IF(OR(L$2="",COUNT(الرصد!$C77:$Y77)=0),"",IFERROR(SUMIF(معالجة!$B$3:$X$3,L$2,الرصد!$C77:$Y77)/SUMIF(معالجة!$B$3:$X$3,L$2,معالجة!$B$4:$X$4),""))</f>
        <v/>
      </c>
      <c r="M77" s="51" t="str">
        <f>IF(OR(M$2="",COUNT(الرصد!$C77:$Y77)=0),"",IFERROR(SUMIF(معالجة!$B$3:$X$3,M$2,الرصد!$C77:$Y77)/SUMIF(معالجة!$B$3:$X$3,M$2,معالجة!$B$4:$X$4),""))</f>
        <v/>
      </c>
      <c r="N77" s="51" t="str">
        <f>IF(OR(N$2="",COUNT(الرصد!$C77:$Y77)=0),"",IFERROR(SUMIF(معالجة!$B$3:$X$3,N$2,الرصد!$C77:$Y77)/SUMIF(معالجة!$B$3:$X$3,N$2,معالجة!$B$4:$X$4),""))</f>
        <v/>
      </c>
      <c r="O77" s="51" t="str">
        <f>IF(OR(O$2="",COUNT(الرصد!$C77:$Y77)=0),"",IFERROR(SUMIF(معالجة!$B$3:$X$3,O$2,الرصد!$C77:$Y77)/SUMIF(معالجة!$B$3:$X$3,O$2,معالجة!$B$4:$X$4),""))</f>
        <v/>
      </c>
      <c r="P77" s="51" t="str">
        <f>IF(OR(P$2="",COUNT(الرصد!$C77:$Y77)=0),"",IFERROR(SUMIF(معالجة!$B$3:$X$3,P$2,الرصد!$C77:$Y77)/SUMIF(معالجة!$B$3:$X$3,P$2,معالجة!$B$4:$X$4),""))</f>
        <v/>
      </c>
      <c r="Q77" s="51" t="str">
        <f>IF(OR(Q$2="",COUNT(الرصد!$C77:$Y77)=0),"",IFERROR(SUMIF(معالجة!$B$3:$X$3,Q$2,الرصد!$C77:$Y77)/SUMIF(معالجة!$B$3:$X$3,Q$2,معالجة!$B$4:$X$4),""))</f>
        <v/>
      </c>
      <c r="R77" s="51" t="str">
        <f>IF(OR(R$2="",COUNT(الرصد!$C77:$Y77)=0),"",IFERROR(SUMIF(معالجة!$B$3:$X$3,R$2,الرصد!$C77:$Y77)/SUMIF(معالجة!$B$3:$X$3,R$2,معالجة!$B$4:$X$4),""))</f>
        <v/>
      </c>
      <c r="S77" s="51" t="str">
        <f>IF(OR(S$2="",COUNT(الرصد!$C77:$Y77)=0),"",IFERROR(SUMIF(معالجة!$B$3:$X$3,S$2,الرصد!$C77:$Y77)/SUMIF(معالجة!$B$3:$X$3,S$2,معالجة!$B$4:$X$4),""))</f>
        <v/>
      </c>
      <c r="T77" s="51" t="str">
        <f>IF(OR(T$2="",COUNT(الرصد!$C77:$Y77)=0),"",IFERROR(SUMIF(معالجة!$B$3:$X$3,T$2,الرصد!$C77:$Y77)/SUMIF(معالجة!$B$3:$X$3,T$2,معالجة!$B$4:$X$4),""))</f>
        <v/>
      </c>
      <c r="U77" s="51" t="str">
        <f>IF(OR(U$2="",COUNT(الرصد!$C77:$Y77)=0),"",IFERROR(SUMIF(معالجة!$B$3:$X$3,U$2,الرصد!$C77:$Y77)/SUMIF(معالجة!$B$3:$X$3,U$2,معالجة!$B$4:$X$4),""))</f>
        <v/>
      </c>
      <c r="V77" s="51" t="str">
        <f>IF(OR(V$2="",COUNT(الرصد!$C77:$Y77)=0),"",IFERROR(SUMIF(معالجة!$B$3:$X$3,V$2,الرصد!$C77:$Y77)/SUMIF(معالجة!$B$3:$X$3,V$2,معالجة!$B$4:$X$4),""))</f>
        <v/>
      </c>
      <c r="W77" s="51" t="str">
        <f>IFERROR(C77/المهارات!$G$27,"")</f>
        <v/>
      </c>
    </row>
    <row r="78" spans="1:23" ht="14.25" customHeight="1">
      <c r="A78" s="46" t="s">
        <v>147</v>
      </c>
      <c r="B78" s="46" t="s">
        <v>20</v>
      </c>
      <c r="C78" s="52" t="str">
        <f>IF(COUNT(الرصد!C78:Y78)=0,"",SUM(الرصد!C78:Y78))</f>
        <v/>
      </c>
      <c r="D78" s="51" t="str">
        <f>IF(OR(D$2="",COUNT(الرصد!$C78:$Y78)=0),"",IFERROR(SUMIF(معالجة!$B$3:$X$3,D$2,الرصد!$C78:$Y78)/SUMIF(معالجة!$B$3:$X$3,D$2,معالجة!$B$4:$X$4),""))</f>
        <v/>
      </c>
      <c r="E78" s="51" t="str">
        <f>IF(OR(E$2="",COUNT(الرصد!$C78:$Y78)=0),"",IFERROR(SUMIF(معالجة!$B$3:$X$3,E$2,الرصد!$C78:$Y78)/SUMIF(معالجة!$B$3:$X$3,E$2,معالجة!$B$4:$X$4),""))</f>
        <v/>
      </c>
      <c r="F78" s="51" t="str">
        <f>IF(OR(F$2="",COUNT(الرصد!$C78:$Y78)=0),"",IFERROR(SUMIF(معالجة!$B$3:$X$3,F$2,الرصد!$C78:$Y78)/SUMIF(معالجة!$B$3:$X$3,F$2,معالجة!$B$4:$X$4),""))</f>
        <v/>
      </c>
      <c r="G78" s="51" t="str">
        <f>IF(OR(G$2="",COUNT(الرصد!$C78:$Y78)=0),"",IFERROR(SUMIF(معالجة!$B$3:$X$3,G$2,الرصد!$C78:$Y78)/SUMIF(معالجة!$B$3:$X$3,G$2,معالجة!$B$4:$X$4),""))</f>
        <v/>
      </c>
      <c r="H78" s="51" t="str">
        <f>IF(OR(H$2="",COUNT(الرصد!$C78:$Y78)=0),"",IFERROR(SUMIF(معالجة!$B$3:$X$3,H$2,الرصد!$C78:$Y78)/SUMIF(معالجة!$B$3:$X$3,H$2,معالجة!$B$4:$X$4),""))</f>
        <v/>
      </c>
      <c r="I78" s="51" t="str">
        <f>IF(OR(I$2="",COUNT(الرصد!$C78:$Y78)=0),"",IFERROR(SUMIF(معالجة!$B$3:$X$3,I$2,الرصد!$C78:$Y78)/SUMIF(معالجة!$B$3:$X$3,I$2,معالجة!$B$4:$X$4),""))</f>
        <v/>
      </c>
      <c r="J78" s="51" t="str">
        <f>IF(OR(J$2="",COUNT(الرصد!$C78:$Y78)=0),"",IFERROR(SUMIF(معالجة!$B$3:$X$3,J$2,الرصد!$C78:$Y78)/SUMIF(معالجة!$B$3:$X$3,J$2,معالجة!$B$4:$X$4),""))</f>
        <v/>
      </c>
      <c r="K78" s="51" t="str">
        <f>IF(OR(K$2="",COUNT(الرصد!$C78:$Y78)=0),"",IFERROR(SUMIF(معالجة!$B$3:$X$3,K$2,الرصد!$C78:$Y78)/SUMIF(معالجة!$B$3:$X$3,K$2,معالجة!$B$4:$X$4),""))</f>
        <v/>
      </c>
      <c r="L78" s="51" t="str">
        <f>IF(OR(L$2="",COUNT(الرصد!$C78:$Y78)=0),"",IFERROR(SUMIF(معالجة!$B$3:$X$3,L$2,الرصد!$C78:$Y78)/SUMIF(معالجة!$B$3:$X$3,L$2,معالجة!$B$4:$X$4),""))</f>
        <v/>
      </c>
      <c r="M78" s="51" t="str">
        <f>IF(OR(M$2="",COUNT(الرصد!$C78:$Y78)=0),"",IFERROR(SUMIF(معالجة!$B$3:$X$3,M$2,الرصد!$C78:$Y78)/SUMIF(معالجة!$B$3:$X$3,M$2,معالجة!$B$4:$X$4),""))</f>
        <v/>
      </c>
      <c r="N78" s="51" t="str">
        <f>IF(OR(N$2="",COUNT(الرصد!$C78:$Y78)=0),"",IFERROR(SUMIF(معالجة!$B$3:$X$3,N$2,الرصد!$C78:$Y78)/SUMIF(معالجة!$B$3:$X$3,N$2,معالجة!$B$4:$X$4),""))</f>
        <v/>
      </c>
      <c r="O78" s="51" t="str">
        <f>IF(OR(O$2="",COUNT(الرصد!$C78:$Y78)=0),"",IFERROR(SUMIF(معالجة!$B$3:$X$3,O$2,الرصد!$C78:$Y78)/SUMIF(معالجة!$B$3:$X$3,O$2,معالجة!$B$4:$X$4),""))</f>
        <v/>
      </c>
      <c r="P78" s="51" t="str">
        <f>IF(OR(P$2="",COUNT(الرصد!$C78:$Y78)=0),"",IFERROR(SUMIF(معالجة!$B$3:$X$3,P$2,الرصد!$C78:$Y78)/SUMIF(معالجة!$B$3:$X$3,P$2,معالجة!$B$4:$X$4),""))</f>
        <v/>
      </c>
      <c r="Q78" s="51" t="str">
        <f>IF(OR(Q$2="",COUNT(الرصد!$C78:$Y78)=0),"",IFERROR(SUMIF(معالجة!$B$3:$X$3,Q$2,الرصد!$C78:$Y78)/SUMIF(معالجة!$B$3:$X$3,Q$2,معالجة!$B$4:$X$4),""))</f>
        <v/>
      </c>
      <c r="R78" s="51" t="str">
        <f>IF(OR(R$2="",COUNT(الرصد!$C78:$Y78)=0),"",IFERROR(SUMIF(معالجة!$B$3:$X$3,R$2,الرصد!$C78:$Y78)/SUMIF(معالجة!$B$3:$X$3,R$2,معالجة!$B$4:$X$4),""))</f>
        <v/>
      </c>
      <c r="S78" s="51" t="str">
        <f>IF(OR(S$2="",COUNT(الرصد!$C78:$Y78)=0),"",IFERROR(SUMIF(معالجة!$B$3:$X$3,S$2,الرصد!$C78:$Y78)/SUMIF(معالجة!$B$3:$X$3,S$2,معالجة!$B$4:$X$4),""))</f>
        <v/>
      </c>
      <c r="T78" s="51" t="str">
        <f>IF(OR(T$2="",COUNT(الرصد!$C78:$Y78)=0),"",IFERROR(SUMIF(معالجة!$B$3:$X$3,T$2,الرصد!$C78:$Y78)/SUMIF(معالجة!$B$3:$X$3,T$2,معالجة!$B$4:$X$4),""))</f>
        <v/>
      </c>
      <c r="U78" s="51" t="str">
        <f>IF(OR(U$2="",COUNT(الرصد!$C78:$Y78)=0),"",IFERROR(SUMIF(معالجة!$B$3:$X$3,U$2,الرصد!$C78:$Y78)/SUMIF(معالجة!$B$3:$X$3,U$2,معالجة!$B$4:$X$4),""))</f>
        <v/>
      </c>
      <c r="V78" s="51" t="str">
        <f>IF(OR(V$2="",COUNT(الرصد!$C78:$Y78)=0),"",IFERROR(SUMIF(معالجة!$B$3:$X$3,V$2,الرصد!$C78:$Y78)/SUMIF(معالجة!$B$3:$X$3,V$2,معالجة!$B$4:$X$4),""))</f>
        <v/>
      </c>
      <c r="W78" s="51" t="str">
        <f>IFERROR(C78/المهارات!$G$27,"")</f>
        <v/>
      </c>
    </row>
    <row r="79" spans="1:23" ht="14.25" customHeight="1">
      <c r="A79" s="42" t="s">
        <v>148</v>
      </c>
      <c r="B79" s="42" t="s">
        <v>20</v>
      </c>
      <c r="C79" s="50" t="str">
        <f>IF(COUNT(الرصد!C79:Y79)=0,"",SUM(الرصد!C79:Y79))</f>
        <v/>
      </c>
      <c r="D79" s="51" t="str">
        <f>IF(OR(D$2="",COUNT(الرصد!$C79:$Y79)=0),"",IFERROR(SUMIF(معالجة!$B$3:$X$3,D$2,الرصد!$C79:$Y79)/SUMIF(معالجة!$B$3:$X$3,D$2,معالجة!$B$4:$X$4),""))</f>
        <v/>
      </c>
      <c r="E79" s="51" t="str">
        <f>IF(OR(E$2="",COUNT(الرصد!$C79:$Y79)=0),"",IFERROR(SUMIF(معالجة!$B$3:$X$3,E$2,الرصد!$C79:$Y79)/SUMIF(معالجة!$B$3:$X$3,E$2,معالجة!$B$4:$X$4),""))</f>
        <v/>
      </c>
      <c r="F79" s="51" t="str">
        <f>IF(OR(F$2="",COUNT(الرصد!$C79:$Y79)=0),"",IFERROR(SUMIF(معالجة!$B$3:$X$3,F$2,الرصد!$C79:$Y79)/SUMIF(معالجة!$B$3:$X$3,F$2,معالجة!$B$4:$X$4),""))</f>
        <v/>
      </c>
      <c r="G79" s="51" t="str">
        <f>IF(OR(G$2="",COUNT(الرصد!$C79:$Y79)=0),"",IFERROR(SUMIF(معالجة!$B$3:$X$3,G$2,الرصد!$C79:$Y79)/SUMIF(معالجة!$B$3:$X$3,G$2,معالجة!$B$4:$X$4),""))</f>
        <v/>
      </c>
      <c r="H79" s="51" t="str">
        <f>IF(OR(H$2="",COUNT(الرصد!$C79:$Y79)=0),"",IFERROR(SUMIF(معالجة!$B$3:$X$3,H$2,الرصد!$C79:$Y79)/SUMIF(معالجة!$B$3:$X$3,H$2,معالجة!$B$4:$X$4),""))</f>
        <v/>
      </c>
      <c r="I79" s="51" t="str">
        <f>IF(OR(I$2="",COUNT(الرصد!$C79:$Y79)=0),"",IFERROR(SUMIF(معالجة!$B$3:$X$3,I$2,الرصد!$C79:$Y79)/SUMIF(معالجة!$B$3:$X$3,I$2,معالجة!$B$4:$X$4),""))</f>
        <v/>
      </c>
      <c r="J79" s="51" t="str">
        <f>IF(OR(J$2="",COUNT(الرصد!$C79:$Y79)=0),"",IFERROR(SUMIF(معالجة!$B$3:$X$3,J$2,الرصد!$C79:$Y79)/SUMIF(معالجة!$B$3:$X$3,J$2,معالجة!$B$4:$X$4),""))</f>
        <v/>
      </c>
      <c r="K79" s="51" t="str">
        <f>IF(OR(K$2="",COUNT(الرصد!$C79:$Y79)=0),"",IFERROR(SUMIF(معالجة!$B$3:$X$3,K$2,الرصد!$C79:$Y79)/SUMIF(معالجة!$B$3:$X$3,K$2,معالجة!$B$4:$X$4),""))</f>
        <v/>
      </c>
      <c r="L79" s="51" t="str">
        <f>IF(OR(L$2="",COUNT(الرصد!$C79:$Y79)=0),"",IFERROR(SUMIF(معالجة!$B$3:$X$3,L$2,الرصد!$C79:$Y79)/SUMIF(معالجة!$B$3:$X$3,L$2,معالجة!$B$4:$X$4),""))</f>
        <v/>
      </c>
      <c r="M79" s="51" t="str">
        <f>IF(OR(M$2="",COUNT(الرصد!$C79:$Y79)=0),"",IFERROR(SUMIF(معالجة!$B$3:$X$3,M$2,الرصد!$C79:$Y79)/SUMIF(معالجة!$B$3:$X$3,M$2,معالجة!$B$4:$X$4),""))</f>
        <v/>
      </c>
      <c r="N79" s="51" t="str">
        <f>IF(OR(N$2="",COUNT(الرصد!$C79:$Y79)=0),"",IFERROR(SUMIF(معالجة!$B$3:$X$3,N$2,الرصد!$C79:$Y79)/SUMIF(معالجة!$B$3:$X$3,N$2,معالجة!$B$4:$X$4),""))</f>
        <v/>
      </c>
      <c r="O79" s="51" t="str">
        <f>IF(OR(O$2="",COUNT(الرصد!$C79:$Y79)=0),"",IFERROR(SUMIF(معالجة!$B$3:$X$3,O$2,الرصد!$C79:$Y79)/SUMIF(معالجة!$B$3:$X$3,O$2,معالجة!$B$4:$X$4),""))</f>
        <v/>
      </c>
      <c r="P79" s="51" t="str">
        <f>IF(OR(P$2="",COUNT(الرصد!$C79:$Y79)=0),"",IFERROR(SUMIF(معالجة!$B$3:$X$3,P$2,الرصد!$C79:$Y79)/SUMIF(معالجة!$B$3:$X$3,P$2,معالجة!$B$4:$X$4),""))</f>
        <v/>
      </c>
      <c r="Q79" s="51" t="str">
        <f>IF(OR(Q$2="",COUNT(الرصد!$C79:$Y79)=0),"",IFERROR(SUMIF(معالجة!$B$3:$X$3,Q$2,الرصد!$C79:$Y79)/SUMIF(معالجة!$B$3:$X$3,Q$2,معالجة!$B$4:$X$4),""))</f>
        <v/>
      </c>
      <c r="R79" s="51" t="str">
        <f>IF(OR(R$2="",COUNT(الرصد!$C79:$Y79)=0),"",IFERROR(SUMIF(معالجة!$B$3:$X$3,R$2,الرصد!$C79:$Y79)/SUMIF(معالجة!$B$3:$X$3,R$2,معالجة!$B$4:$X$4),""))</f>
        <v/>
      </c>
      <c r="S79" s="51" t="str">
        <f>IF(OR(S$2="",COUNT(الرصد!$C79:$Y79)=0),"",IFERROR(SUMIF(معالجة!$B$3:$X$3,S$2,الرصد!$C79:$Y79)/SUMIF(معالجة!$B$3:$X$3,S$2,معالجة!$B$4:$X$4),""))</f>
        <v/>
      </c>
      <c r="T79" s="51" t="str">
        <f>IF(OR(T$2="",COUNT(الرصد!$C79:$Y79)=0),"",IFERROR(SUMIF(معالجة!$B$3:$X$3,T$2,الرصد!$C79:$Y79)/SUMIF(معالجة!$B$3:$X$3,T$2,معالجة!$B$4:$X$4),""))</f>
        <v/>
      </c>
      <c r="U79" s="51" t="str">
        <f>IF(OR(U$2="",COUNT(الرصد!$C79:$Y79)=0),"",IFERROR(SUMIF(معالجة!$B$3:$X$3,U$2,الرصد!$C79:$Y79)/SUMIF(معالجة!$B$3:$X$3,U$2,معالجة!$B$4:$X$4),""))</f>
        <v/>
      </c>
      <c r="V79" s="51" t="str">
        <f>IF(OR(V$2="",COUNT(الرصد!$C79:$Y79)=0),"",IFERROR(SUMIF(معالجة!$B$3:$X$3,V$2,الرصد!$C79:$Y79)/SUMIF(معالجة!$B$3:$X$3,V$2,معالجة!$B$4:$X$4),""))</f>
        <v/>
      </c>
      <c r="W79" s="51" t="str">
        <f>IFERROR(C79/المهارات!$G$27,"")</f>
        <v/>
      </c>
    </row>
    <row r="80" spans="1:23" ht="14.25" customHeight="1">
      <c r="A80" s="46" t="s">
        <v>149</v>
      </c>
      <c r="B80" s="46" t="s">
        <v>20</v>
      </c>
      <c r="C80" s="52" t="str">
        <f>IF(COUNT(الرصد!C80:Y80)=0,"",SUM(الرصد!C80:Y80))</f>
        <v/>
      </c>
      <c r="D80" s="51" t="str">
        <f>IF(OR(D$2="",COUNT(الرصد!$C80:$Y80)=0),"",IFERROR(SUMIF(معالجة!$B$3:$X$3,D$2,الرصد!$C80:$Y80)/SUMIF(معالجة!$B$3:$X$3,D$2,معالجة!$B$4:$X$4),""))</f>
        <v/>
      </c>
      <c r="E80" s="51" t="str">
        <f>IF(OR(E$2="",COUNT(الرصد!$C80:$Y80)=0),"",IFERROR(SUMIF(معالجة!$B$3:$X$3,E$2,الرصد!$C80:$Y80)/SUMIF(معالجة!$B$3:$X$3,E$2,معالجة!$B$4:$X$4),""))</f>
        <v/>
      </c>
      <c r="F80" s="51" t="str">
        <f>IF(OR(F$2="",COUNT(الرصد!$C80:$Y80)=0),"",IFERROR(SUMIF(معالجة!$B$3:$X$3,F$2,الرصد!$C80:$Y80)/SUMIF(معالجة!$B$3:$X$3,F$2,معالجة!$B$4:$X$4),""))</f>
        <v/>
      </c>
      <c r="G80" s="51" t="str">
        <f>IF(OR(G$2="",COUNT(الرصد!$C80:$Y80)=0),"",IFERROR(SUMIF(معالجة!$B$3:$X$3,G$2,الرصد!$C80:$Y80)/SUMIF(معالجة!$B$3:$X$3,G$2,معالجة!$B$4:$X$4),""))</f>
        <v/>
      </c>
      <c r="H80" s="51" t="str">
        <f>IF(OR(H$2="",COUNT(الرصد!$C80:$Y80)=0),"",IFERROR(SUMIF(معالجة!$B$3:$X$3,H$2,الرصد!$C80:$Y80)/SUMIF(معالجة!$B$3:$X$3,H$2,معالجة!$B$4:$X$4),""))</f>
        <v/>
      </c>
      <c r="I80" s="51" t="str">
        <f>IF(OR(I$2="",COUNT(الرصد!$C80:$Y80)=0),"",IFERROR(SUMIF(معالجة!$B$3:$X$3,I$2,الرصد!$C80:$Y80)/SUMIF(معالجة!$B$3:$X$3,I$2,معالجة!$B$4:$X$4),""))</f>
        <v/>
      </c>
      <c r="J80" s="51" t="str">
        <f>IF(OR(J$2="",COUNT(الرصد!$C80:$Y80)=0),"",IFERROR(SUMIF(معالجة!$B$3:$X$3,J$2,الرصد!$C80:$Y80)/SUMIF(معالجة!$B$3:$X$3,J$2,معالجة!$B$4:$X$4),""))</f>
        <v/>
      </c>
      <c r="K80" s="51" t="str">
        <f>IF(OR(K$2="",COUNT(الرصد!$C80:$Y80)=0),"",IFERROR(SUMIF(معالجة!$B$3:$X$3,K$2,الرصد!$C80:$Y80)/SUMIF(معالجة!$B$3:$X$3,K$2,معالجة!$B$4:$X$4),""))</f>
        <v/>
      </c>
      <c r="L80" s="51" t="str">
        <f>IF(OR(L$2="",COUNT(الرصد!$C80:$Y80)=0),"",IFERROR(SUMIF(معالجة!$B$3:$X$3,L$2,الرصد!$C80:$Y80)/SUMIF(معالجة!$B$3:$X$3,L$2,معالجة!$B$4:$X$4),""))</f>
        <v/>
      </c>
      <c r="M80" s="51" t="str">
        <f>IF(OR(M$2="",COUNT(الرصد!$C80:$Y80)=0),"",IFERROR(SUMIF(معالجة!$B$3:$X$3,M$2,الرصد!$C80:$Y80)/SUMIF(معالجة!$B$3:$X$3,M$2,معالجة!$B$4:$X$4),""))</f>
        <v/>
      </c>
      <c r="N80" s="51" t="str">
        <f>IF(OR(N$2="",COUNT(الرصد!$C80:$Y80)=0),"",IFERROR(SUMIF(معالجة!$B$3:$X$3,N$2,الرصد!$C80:$Y80)/SUMIF(معالجة!$B$3:$X$3,N$2,معالجة!$B$4:$X$4),""))</f>
        <v/>
      </c>
      <c r="O80" s="51" t="str">
        <f>IF(OR(O$2="",COUNT(الرصد!$C80:$Y80)=0),"",IFERROR(SUMIF(معالجة!$B$3:$X$3,O$2,الرصد!$C80:$Y80)/SUMIF(معالجة!$B$3:$X$3,O$2,معالجة!$B$4:$X$4),""))</f>
        <v/>
      </c>
      <c r="P80" s="51" t="str">
        <f>IF(OR(P$2="",COUNT(الرصد!$C80:$Y80)=0),"",IFERROR(SUMIF(معالجة!$B$3:$X$3,P$2,الرصد!$C80:$Y80)/SUMIF(معالجة!$B$3:$X$3,P$2,معالجة!$B$4:$X$4),""))</f>
        <v/>
      </c>
      <c r="Q80" s="51" t="str">
        <f>IF(OR(Q$2="",COUNT(الرصد!$C80:$Y80)=0),"",IFERROR(SUMIF(معالجة!$B$3:$X$3,Q$2,الرصد!$C80:$Y80)/SUMIF(معالجة!$B$3:$X$3,Q$2,معالجة!$B$4:$X$4),""))</f>
        <v/>
      </c>
      <c r="R80" s="51" t="str">
        <f>IF(OR(R$2="",COUNT(الرصد!$C80:$Y80)=0),"",IFERROR(SUMIF(معالجة!$B$3:$X$3,R$2,الرصد!$C80:$Y80)/SUMIF(معالجة!$B$3:$X$3,R$2,معالجة!$B$4:$X$4),""))</f>
        <v/>
      </c>
      <c r="S80" s="51" t="str">
        <f>IF(OR(S$2="",COUNT(الرصد!$C80:$Y80)=0),"",IFERROR(SUMIF(معالجة!$B$3:$X$3,S$2,الرصد!$C80:$Y80)/SUMIF(معالجة!$B$3:$X$3,S$2,معالجة!$B$4:$X$4),""))</f>
        <v/>
      </c>
      <c r="T80" s="51" t="str">
        <f>IF(OR(T$2="",COUNT(الرصد!$C80:$Y80)=0),"",IFERROR(SUMIF(معالجة!$B$3:$X$3,T$2,الرصد!$C80:$Y80)/SUMIF(معالجة!$B$3:$X$3,T$2,معالجة!$B$4:$X$4),""))</f>
        <v/>
      </c>
      <c r="U80" s="51" t="str">
        <f>IF(OR(U$2="",COUNT(الرصد!$C80:$Y80)=0),"",IFERROR(SUMIF(معالجة!$B$3:$X$3,U$2,الرصد!$C80:$Y80)/SUMIF(معالجة!$B$3:$X$3,U$2,معالجة!$B$4:$X$4),""))</f>
        <v/>
      </c>
      <c r="V80" s="51" t="str">
        <f>IF(OR(V$2="",COUNT(الرصد!$C80:$Y80)=0),"",IFERROR(SUMIF(معالجة!$B$3:$X$3,V$2,الرصد!$C80:$Y80)/SUMIF(معالجة!$B$3:$X$3,V$2,معالجة!$B$4:$X$4),""))</f>
        <v/>
      </c>
      <c r="W80" s="51" t="str">
        <f>IFERROR(C80/المهارات!$G$27,"")</f>
        <v/>
      </c>
    </row>
    <row r="81" spans="1:23" ht="14.25" customHeight="1">
      <c r="A81" s="42" t="s">
        <v>150</v>
      </c>
      <c r="B81" s="42" t="s">
        <v>20</v>
      </c>
      <c r="C81" s="50" t="str">
        <f>IF(COUNT(الرصد!C81:Y81)=0,"",SUM(الرصد!C81:Y81))</f>
        <v/>
      </c>
      <c r="D81" s="51" t="str">
        <f>IF(OR(D$2="",COUNT(الرصد!$C81:$Y81)=0),"",IFERROR(SUMIF(معالجة!$B$3:$X$3,D$2,الرصد!$C81:$Y81)/SUMIF(معالجة!$B$3:$X$3,D$2,معالجة!$B$4:$X$4),""))</f>
        <v/>
      </c>
      <c r="E81" s="51" t="str">
        <f>IF(OR(E$2="",COUNT(الرصد!$C81:$Y81)=0),"",IFERROR(SUMIF(معالجة!$B$3:$X$3,E$2,الرصد!$C81:$Y81)/SUMIF(معالجة!$B$3:$X$3,E$2,معالجة!$B$4:$X$4),""))</f>
        <v/>
      </c>
      <c r="F81" s="51" t="str">
        <f>IF(OR(F$2="",COUNT(الرصد!$C81:$Y81)=0),"",IFERROR(SUMIF(معالجة!$B$3:$X$3,F$2,الرصد!$C81:$Y81)/SUMIF(معالجة!$B$3:$X$3,F$2,معالجة!$B$4:$X$4),""))</f>
        <v/>
      </c>
      <c r="G81" s="51" t="str">
        <f>IF(OR(G$2="",COUNT(الرصد!$C81:$Y81)=0),"",IFERROR(SUMIF(معالجة!$B$3:$X$3,G$2,الرصد!$C81:$Y81)/SUMIF(معالجة!$B$3:$X$3,G$2,معالجة!$B$4:$X$4),""))</f>
        <v/>
      </c>
      <c r="H81" s="51" t="str">
        <f>IF(OR(H$2="",COUNT(الرصد!$C81:$Y81)=0),"",IFERROR(SUMIF(معالجة!$B$3:$X$3,H$2,الرصد!$C81:$Y81)/SUMIF(معالجة!$B$3:$X$3,H$2,معالجة!$B$4:$X$4),""))</f>
        <v/>
      </c>
      <c r="I81" s="51" t="str">
        <f>IF(OR(I$2="",COUNT(الرصد!$C81:$Y81)=0),"",IFERROR(SUMIF(معالجة!$B$3:$X$3,I$2,الرصد!$C81:$Y81)/SUMIF(معالجة!$B$3:$X$3,I$2,معالجة!$B$4:$X$4),""))</f>
        <v/>
      </c>
      <c r="J81" s="51" t="str">
        <f>IF(OR(J$2="",COUNT(الرصد!$C81:$Y81)=0),"",IFERROR(SUMIF(معالجة!$B$3:$X$3,J$2,الرصد!$C81:$Y81)/SUMIF(معالجة!$B$3:$X$3,J$2,معالجة!$B$4:$X$4),""))</f>
        <v/>
      </c>
      <c r="K81" s="51" t="str">
        <f>IF(OR(K$2="",COUNT(الرصد!$C81:$Y81)=0),"",IFERROR(SUMIF(معالجة!$B$3:$X$3,K$2,الرصد!$C81:$Y81)/SUMIF(معالجة!$B$3:$X$3,K$2,معالجة!$B$4:$X$4),""))</f>
        <v/>
      </c>
      <c r="L81" s="51" t="str">
        <f>IF(OR(L$2="",COUNT(الرصد!$C81:$Y81)=0),"",IFERROR(SUMIF(معالجة!$B$3:$X$3,L$2,الرصد!$C81:$Y81)/SUMIF(معالجة!$B$3:$X$3,L$2,معالجة!$B$4:$X$4),""))</f>
        <v/>
      </c>
      <c r="M81" s="51" t="str">
        <f>IF(OR(M$2="",COUNT(الرصد!$C81:$Y81)=0),"",IFERROR(SUMIF(معالجة!$B$3:$X$3,M$2,الرصد!$C81:$Y81)/SUMIF(معالجة!$B$3:$X$3,M$2,معالجة!$B$4:$X$4),""))</f>
        <v/>
      </c>
      <c r="N81" s="51" t="str">
        <f>IF(OR(N$2="",COUNT(الرصد!$C81:$Y81)=0),"",IFERROR(SUMIF(معالجة!$B$3:$X$3,N$2,الرصد!$C81:$Y81)/SUMIF(معالجة!$B$3:$X$3,N$2,معالجة!$B$4:$X$4),""))</f>
        <v/>
      </c>
      <c r="O81" s="51" t="str">
        <f>IF(OR(O$2="",COUNT(الرصد!$C81:$Y81)=0),"",IFERROR(SUMIF(معالجة!$B$3:$X$3,O$2,الرصد!$C81:$Y81)/SUMIF(معالجة!$B$3:$X$3,O$2,معالجة!$B$4:$X$4),""))</f>
        <v/>
      </c>
      <c r="P81" s="51" t="str">
        <f>IF(OR(P$2="",COUNT(الرصد!$C81:$Y81)=0),"",IFERROR(SUMIF(معالجة!$B$3:$X$3,P$2,الرصد!$C81:$Y81)/SUMIF(معالجة!$B$3:$X$3,P$2,معالجة!$B$4:$X$4),""))</f>
        <v/>
      </c>
      <c r="Q81" s="51" t="str">
        <f>IF(OR(Q$2="",COUNT(الرصد!$C81:$Y81)=0),"",IFERROR(SUMIF(معالجة!$B$3:$X$3,Q$2,الرصد!$C81:$Y81)/SUMIF(معالجة!$B$3:$X$3,Q$2,معالجة!$B$4:$X$4),""))</f>
        <v/>
      </c>
      <c r="R81" s="51" t="str">
        <f>IF(OR(R$2="",COUNT(الرصد!$C81:$Y81)=0),"",IFERROR(SUMIF(معالجة!$B$3:$X$3,R$2,الرصد!$C81:$Y81)/SUMIF(معالجة!$B$3:$X$3,R$2,معالجة!$B$4:$X$4),""))</f>
        <v/>
      </c>
      <c r="S81" s="51" t="str">
        <f>IF(OR(S$2="",COUNT(الرصد!$C81:$Y81)=0),"",IFERROR(SUMIF(معالجة!$B$3:$X$3,S$2,الرصد!$C81:$Y81)/SUMIF(معالجة!$B$3:$X$3,S$2,معالجة!$B$4:$X$4),""))</f>
        <v/>
      </c>
      <c r="T81" s="51" t="str">
        <f>IF(OR(T$2="",COUNT(الرصد!$C81:$Y81)=0),"",IFERROR(SUMIF(معالجة!$B$3:$X$3,T$2,الرصد!$C81:$Y81)/SUMIF(معالجة!$B$3:$X$3,T$2,معالجة!$B$4:$X$4),""))</f>
        <v/>
      </c>
      <c r="U81" s="51" t="str">
        <f>IF(OR(U$2="",COUNT(الرصد!$C81:$Y81)=0),"",IFERROR(SUMIF(معالجة!$B$3:$X$3,U$2,الرصد!$C81:$Y81)/SUMIF(معالجة!$B$3:$X$3,U$2,معالجة!$B$4:$X$4),""))</f>
        <v/>
      </c>
      <c r="V81" s="51" t="str">
        <f>IF(OR(V$2="",COUNT(الرصد!$C81:$Y81)=0),"",IFERROR(SUMIF(معالجة!$B$3:$X$3,V$2,الرصد!$C81:$Y81)/SUMIF(معالجة!$B$3:$X$3,V$2,معالجة!$B$4:$X$4),""))</f>
        <v/>
      </c>
      <c r="W81" s="51" t="str">
        <f>IFERROR(C81/المهارات!$G$27,"")</f>
        <v/>
      </c>
    </row>
    <row r="82" spans="1:23" ht="14.25" customHeight="1">
      <c r="A82" s="46" t="s">
        <v>151</v>
      </c>
      <c r="B82" s="46" t="s">
        <v>20</v>
      </c>
      <c r="C82" s="52" t="str">
        <f>IF(COUNT(الرصد!C82:Y82)=0,"",SUM(الرصد!C82:Y82))</f>
        <v/>
      </c>
      <c r="D82" s="51" t="str">
        <f>IF(OR(D$2="",COUNT(الرصد!$C82:$Y82)=0),"",IFERROR(SUMIF(معالجة!$B$3:$X$3,D$2,الرصد!$C82:$Y82)/SUMIF(معالجة!$B$3:$X$3,D$2,معالجة!$B$4:$X$4),""))</f>
        <v/>
      </c>
      <c r="E82" s="51" t="str">
        <f>IF(OR(E$2="",COUNT(الرصد!$C82:$Y82)=0),"",IFERROR(SUMIF(معالجة!$B$3:$X$3,E$2,الرصد!$C82:$Y82)/SUMIF(معالجة!$B$3:$X$3,E$2,معالجة!$B$4:$X$4),""))</f>
        <v/>
      </c>
      <c r="F82" s="51" t="str">
        <f>IF(OR(F$2="",COUNT(الرصد!$C82:$Y82)=0),"",IFERROR(SUMIF(معالجة!$B$3:$X$3,F$2,الرصد!$C82:$Y82)/SUMIF(معالجة!$B$3:$X$3,F$2,معالجة!$B$4:$X$4),""))</f>
        <v/>
      </c>
      <c r="G82" s="51" t="str">
        <f>IF(OR(G$2="",COUNT(الرصد!$C82:$Y82)=0),"",IFERROR(SUMIF(معالجة!$B$3:$X$3,G$2,الرصد!$C82:$Y82)/SUMIF(معالجة!$B$3:$X$3,G$2,معالجة!$B$4:$X$4),""))</f>
        <v/>
      </c>
      <c r="H82" s="51" t="str">
        <f>IF(OR(H$2="",COUNT(الرصد!$C82:$Y82)=0),"",IFERROR(SUMIF(معالجة!$B$3:$X$3,H$2,الرصد!$C82:$Y82)/SUMIF(معالجة!$B$3:$X$3,H$2,معالجة!$B$4:$X$4),""))</f>
        <v/>
      </c>
      <c r="I82" s="51" t="str">
        <f>IF(OR(I$2="",COUNT(الرصد!$C82:$Y82)=0),"",IFERROR(SUMIF(معالجة!$B$3:$X$3,I$2,الرصد!$C82:$Y82)/SUMIF(معالجة!$B$3:$X$3,I$2,معالجة!$B$4:$X$4),""))</f>
        <v/>
      </c>
      <c r="J82" s="51" t="str">
        <f>IF(OR(J$2="",COUNT(الرصد!$C82:$Y82)=0),"",IFERROR(SUMIF(معالجة!$B$3:$X$3,J$2,الرصد!$C82:$Y82)/SUMIF(معالجة!$B$3:$X$3,J$2,معالجة!$B$4:$X$4),""))</f>
        <v/>
      </c>
      <c r="K82" s="51" t="str">
        <f>IF(OR(K$2="",COUNT(الرصد!$C82:$Y82)=0),"",IFERROR(SUMIF(معالجة!$B$3:$X$3,K$2,الرصد!$C82:$Y82)/SUMIF(معالجة!$B$3:$X$3,K$2,معالجة!$B$4:$X$4),""))</f>
        <v/>
      </c>
      <c r="L82" s="51" t="str">
        <f>IF(OR(L$2="",COUNT(الرصد!$C82:$Y82)=0),"",IFERROR(SUMIF(معالجة!$B$3:$X$3,L$2,الرصد!$C82:$Y82)/SUMIF(معالجة!$B$3:$X$3,L$2,معالجة!$B$4:$X$4),""))</f>
        <v/>
      </c>
      <c r="M82" s="51" t="str">
        <f>IF(OR(M$2="",COUNT(الرصد!$C82:$Y82)=0),"",IFERROR(SUMIF(معالجة!$B$3:$X$3,M$2,الرصد!$C82:$Y82)/SUMIF(معالجة!$B$3:$X$3,M$2,معالجة!$B$4:$X$4),""))</f>
        <v/>
      </c>
      <c r="N82" s="51" t="str">
        <f>IF(OR(N$2="",COUNT(الرصد!$C82:$Y82)=0),"",IFERROR(SUMIF(معالجة!$B$3:$X$3,N$2,الرصد!$C82:$Y82)/SUMIF(معالجة!$B$3:$X$3,N$2,معالجة!$B$4:$X$4),""))</f>
        <v/>
      </c>
      <c r="O82" s="51" t="str">
        <f>IF(OR(O$2="",COUNT(الرصد!$C82:$Y82)=0),"",IFERROR(SUMIF(معالجة!$B$3:$X$3,O$2,الرصد!$C82:$Y82)/SUMIF(معالجة!$B$3:$X$3,O$2,معالجة!$B$4:$X$4),""))</f>
        <v/>
      </c>
      <c r="P82" s="51" t="str">
        <f>IF(OR(P$2="",COUNT(الرصد!$C82:$Y82)=0),"",IFERROR(SUMIF(معالجة!$B$3:$X$3,P$2,الرصد!$C82:$Y82)/SUMIF(معالجة!$B$3:$X$3,P$2,معالجة!$B$4:$X$4),""))</f>
        <v/>
      </c>
      <c r="Q82" s="51" t="str">
        <f>IF(OR(Q$2="",COUNT(الرصد!$C82:$Y82)=0),"",IFERROR(SUMIF(معالجة!$B$3:$X$3,Q$2,الرصد!$C82:$Y82)/SUMIF(معالجة!$B$3:$X$3,Q$2,معالجة!$B$4:$X$4),""))</f>
        <v/>
      </c>
      <c r="R82" s="51" t="str">
        <f>IF(OR(R$2="",COUNT(الرصد!$C82:$Y82)=0),"",IFERROR(SUMIF(معالجة!$B$3:$X$3,R$2,الرصد!$C82:$Y82)/SUMIF(معالجة!$B$3:$X$3,R$2,معالجة!$B$4:$X$4),""))</f>
        <v/>
      </c>
      <c r="S82" s="51" t="str">
        <f>IF(OR(S$2="",COUNT(الرصد!$C82:$Y82)=0),"",IFERROR(SUMIF(معالجة!$B$3:$X$3,S$2,الرصد!$C82:$Y82)/SUMIF(معالجة!$B$3:$X$3,S$2,معالجة!$B$4:$X$4),""))</f>
        <v/>
      </c>
      <c r="T82" s="51" t="str">
        <f>IF(OR(T$2="",COUNT(الرصد!$C82:$Y82)=0),"",IFERROR(SUMIF(معالجة!$B$3:$X$3,T$2,الرصد!$C82:$Y82)/SUMIF(معالجة!$B$3:$X$3,T$2,معالجة!$B$4:$X$4),""))</f>
        <v/>
      </c>
      <c r="U82" s="51" t="str">
        <f>IF(OR(U$2="",COUNT(الرصد!$C82:$Y82)=0),"",IFERROR(SUMIF(معالجة!$B$3:$X$3,U$2,الرصد!$C82:$Y82)/SUMIF(معالجة!$B$3:$X$3,U$2,معالجة!$B$4:$X$4),""))</f>
        <v/>
      </c>
      <c r="V82" s="51" t="str">
        <f>IF(OR(V$2="",COUNT(الرصد!$C82:$Y82)=0),"",IFERROR(SUMIF(معالجة!$B$3:$X$3,V$2,الرصد!$C82:$Y82)/SUMIF(معالجة!$B$3:$X$3,V$2,معالجة!$B$4:$X$4),""))</f>
        <v/>
      </c>
      <c r="W82" s="51" t="str">
        <f>IFERROR(C82/المهارات!$G$27,"")</f>
        <v/>
      </c>
    </row>
    <row r="83" spans="1:23" ht="14.25" customHeight="1">
      <c r="A83" s="42" t="s">
        <v>152</v>
      </c>
      <c r="B83" s="42" t="s">
        <v>20</v>
      </c>
      <c r="C83" s="50" t="str">
        <f>IF(COUNT(الرصد!C83:Y83)=0,"",SUM(الرصد!C83:Y83))</f>
        <v/>
      </c>
      <c r="D83" s="51" t="str">
        <f>IF(OR(D$2="",COUNT(الرصد!$C83:$Y83)=0),"",IFERROR(SUMIF(معالجة!$B$3:$X$3,D$2,الرصد!$C83:$Y83)/SUMIF(معالجة!$B$3:$X$3,D$2,معالجة!$B$4:$X$4),""))</f>
        <v/>
      </c>
      <c r="E83" s="51" t="str">
        <f>IF(OR(E$2="",COUNT(الرصد!$C83:$Y83)=0),"",IFERROR(SUMIF(معالجة!$B$3:$X$3,E$2,الرصد!$C83:$Y83)/SUMIF(معالجة!$B$3:$X$3,E$2,معالجة!$B$4:$X$4),""))</f>
        <v/>
      </c>
      <c r="F83" s="51" t="str">
        <f>IF(OR(F$2="",COUNT(الرصد!$C83:$Y83)=0),"",IFERROR(SUMIF(معالجة!$B$3:$X$3,F$2,الرصد!$C83:$Y83)/SUMIF(معالجة!$B$3:$X$3,F$2,معالجة!$B$4:$X$4),""))</f>
        <v/>
      </c>
      <c r="G83" s="51" t="str">
        <f>IF(OR(G$2="",COUNT(الرصد!$C83:$Y83)=0),"",IFERROR(SUMIF(معالجة!$B$3:$X$3,G$2,الرصد!$C83:$Y83)/SUMIF(معالجة!$B$3:$X$3,G$2,معالجة!$B$4:$X$4),""))</f>
        <v/>
      </c>
      <c r="H83" s="51" t="str">
        <f>IF(OR(H$2="",COUNT(الرصد!$C83:$Y83)=0),"",IFERROR(SUMIF(معالجة!$B$3:$X$3,H$2,الرصد!$C83:$Y83)/SUMIF(معالجة!$B$3:$X$3,H$2,معالجة!$B$4:$X$4),""))</f>
        <v/>
      </c>
      <c r="I83" s="51" t="str">
        <f>IF(OR(I$2="",COUNT(الرصد!$C83:$Y83)=0),"",IFERROR(SUMIF(معالجة!$B$3:$X$3,I$2,الرصد!$C83:$Y83)/SUMIF(معالجة!$B$3:$X$3,I$2,معالجة!$B$4:$X$4),""))</f>
        <v/>
      </c>
      <c r="J83" s="51" t="str">
        <f>IF(OR(J$2="",COUNT(الرصد!$C83:$Y83)=0),"",IFERROR(SUMIF(معالجة!$B$3:$X$3,J$2,الرصد!$C83:$Y83)/SUMIF(معالجة!$B$3:$X$3,J$2,معالجة!$B$4:$X$4),""))</f>
        <v/>
      </c>
      <c r="K83" s="51" t="str">
        <f>IF(OR(K$2="",COUNT(الرصد!$C83:$Y83)=0),"",IFERROR(SUMIF(معالجة!$B$3:$X$3,K$2,الرصد!$C83:$Y83)/SUMIF(معالجة!$B$3:$X$3,K$2,معالجة!$B$4:$X$4),""))</f>
        <v/>
      </c>
      <c r="L83" s="51" t="str">
        <f>IF(OR(L$2="",COUNT(الرصد!$C83:$Y83)=0),"",IFERROR(SUMIF(معالجة!$B$3:$X$3,L$2,الرصد!$C83:$Y83)/SUMIF(معالجة!$B$3:$X$3,L$2,معالجة!$B$4:$X$4),""))</f>
        <v/>
      </c>
      <c r="M83" s="51" t="str">
        <f>IF(OR(M$2="",COUNT(الرصد!$C83:$Y83)=0),"",IFERROR(SUMIF(معالجة!$B$3:$X$3,M$2,الرصد!$C83:$Y83)/SUMIF(معالجة!$B$3:$X$3,M$2,معالجة!$B$4:$X$4),""))</f>
        <v/>
      </c>
      <c r="N83" s="51" t="str">
        <f>IF(OR(N$2="",COUNT(الرصد!$C83:$Y83)=0),"",IFERROR(SUMIF(معالجة!$B$3:$X$3,N$2,الرصد!$C83:$Y83)/SUMIF(معالجة!$B$3:$X$3,N$2,معالجة!$B$4:$X$4),""))</f>
        <v/>
      </c>
      <c r="O83" s="51" t="str">
        <f>IF(OR(O$2="",COUNT(الرصد!$C83:$Y83)=0),"",IFERROR(SUMIF(معالجة!$B$3:$X$3,O$2,الرصد!$C83:$Y83)/SUMIF(معالجة!$B$3:$X$3,O$2,معالجة!$B$4:$X$4),""))</f>
        <v/>
      </c>
      <c r="P83" s="51" t="str">
        <f>IF(OR(P$2="",COUNT(الرصد!$C83:$Y83)=0),"",IFERROR(SUMIF(معالجة!$B$3:$X$3,P$2,الرصد!$C83:$Y83)/SUMIF(معالجة!$B$3:$X$3,P$2,معالجة!$B$4:$X$4),""))</f>
        <v/>
      </c>
      <c r="Q83" s="51" t="str">
        <f>IF(OR(Q$2="",COUNT(الرصد!$C83:$Y83)=0),"",IFERROR(SUMIF(معالجة!$B$3:$X$3,Q$2,الرصد!$C83:$Y83)/SUMIF(معالجة!$B$3:$X$3,Q$2,معالجة!$B$4:$X$4),""))</f>
        <v/>
      </c>
      <c r="R83" s="51" t="str">
        <f>IF(OR(R$2="",COUNT(الرصد!$C83:$Y83)=0),"",IFERROR(SUMIF(معالجة!$B$3:$X$3,R$2,الرصد!$C83:$Y83)/SUMIF(معالجة!$B$3:$X$3,R$2,معالجة!$B$4:$X$4),""))</f>
        <v/>
      </c>
      <c r="S83" s="51" t="str">
        <f>IF(OR(S$2="",COUNT(الرصد!$C83:$Y83)=0),"",IFERROR(SUMIF(معالجة!$B$3:$X$3,S$2,الرصد!$C83:$Y83)/SUMIF(معالجة!$B$3:$X$3,S$2,معالجة!$B$4:$X$4),""))</f>
        <v/>
      </c>
      <c r="T83" s="51" t="str">
        <f>IF(OR(T$2="",COUNT(الرصد!$C83:$Y83)=0),"",IFERROR(SUMIF(معالجة!$B$3:$X$3,T$2,الرصد!$C83:$Y83)/SUMIF(معالجة!$B$3:$X$3,T$2,معالجة!$B$4:$X$4),""))</f>
        <v/>
      </c>
      <c r="U83" s="51" t="str">
        <f>IF(OR(U$2="",COUNT(الرصد!$C83:$Y83)=0),"",IFERROR(SUMIF(معالجة!$B$3:$X$3,U$2,الرصد!$C83:$Y83)/SUMIF(معالجة!$B$3:$X$3,U$2,معالجة!$B$4:$X$4),""))</f>
        <v/>
      </c>
      <c r="V83" s="51" t="str">
        <f>IF(OR(V$2="",COUNT(الرصد!$C83:$Y83)=0),"",IFERROR(SUMIF(معالجة!$B$3:$X$3,V$2,الرصد!$C83:$Y83)/SUMIF(معالجة!$B$3:$X$3,V$2,معالجة!$B$4:$X$4),""))</f>
        <v/>
      </c>
      <c r="W83" s="51" t="str">
        <f>IFERROR(C83/المهارات!$G$27,"")</f>
        <v/>
      </c>
    </row>
    <row r="84" spans="1:23" ht="14.25" customHeight="1">
      <c r="A84" s="46" t="s">
        <v>153</v>
      </c>
      <c r="B84" s="46" t="s">
        <v>20</v>
      </c>
      <c r="C84" s="52" t="str">
        <f>IF(COUNT(الرصد!C84:Y84)=0,"",SUM(الرصد!C84:Y84))</f>
        <v/>
      </c>
      <c r="D84" s="51" t="str">
        <f>IF(OR(D$2="",COUNT(الرصد!$C84:$Y84)=0),"",IFERROR(SUMIF(معالجة!$B$3:$X$3,D$2,الرصد!$C84:$Y84)/SUMIF(معالجة!$B$3:$X$3,D$2,معالجة!$B$4:$X$4),""))</f>
        <v/>
      </c>
      <c r="E84" s="51" t="str">
        <f>IF(OR(E$2="",COUNT(الرصد!$C84:$Y84)=0),"",IFERROR(SUMIF(معالجة!$B$3:$X$3,E$2,الرصد!$C84:$Y84)/SUMIF(معالجة!$B$3:$X$3,E$2,معالجة!$B$4:$X$4),""))</f>
        <v/>
      </c>
      <c r="F84" s="51" t="str">
        <f>IF(OR(F$2="",COUNT(الرصد!$C84:$Y84)=0),"",IFERROR(SUMIF(معالجة!$B$3:$X$3,F$2,الرصد!$C84:$Y84)/SUMIF(معالجة!$B$3:$X$3,F$2,معالجة!$B$4:$X$4),""))</f>
        <v/>
      </c>
      <c r="G84" s="51" t="str">
        <f>IF(OR(G$2="",COUNT(الرصد!$C84:$Y84)=0),"",IFERROR(SUMIF(معالجة!$B$3:$X$3,G$2,الرصد!$C84:$Y84)/SUMIF(معالجة!$B$3:$X$3,G$2,معالجة!$B$4:$X$4),""))</f>
        <v/>
      </c>
      <c r="H84" s="51" t="str">
        <f>IF(OR(H$2="",COUNT(الرصد!$C84:$Y84)=0),"",IFERROR(SUMIF(معالجة!$B$3:$X$3,H$2,الرصد!$C84:$Y84)/SUMIF(معالجة!$B$3:$X$3,H$2,معالجة!$B$4:$X$4),""))</f>
        <v/>
      </c>
      <c r="I84" s="51" t="str">
        <f>IF(OR(I$2="",COUNT(الرصد!$C84:$Y84)=0),"",IFERROR(SUMIF(معالجة!$B$3:$X$3,I$2,الرصد!$C84:$Y84)/SUMIF(معالجة!$B$3:$X$3,I$2,معالجة!$B$4:$X$4),""))</f>
        <v/>
      </c>
      <c r="J84" s="51" t="str">
        <f>IF(OR(J$2="",COUNT(الرصد!$C84:$Y84)=0),"",IFERROR(SUMIF(معالجة!$B$3:$X$3,J$2,الرصد!$C84:$Y84)/SUMIF(معالجة!$B$3:$X$3,J$2,معالجة!$B$4:$X$4),""))</f>
        <v/>
      </c>
      <c r="K84" s="51" t="str">
        <f>IF(OR(K$2="",COUNT(الرصد!$C84:$Y84)=0),"",IFERROR(SUMIF(معالجة!$B$3:$X$3,K$2,الرصد!$C84:$Y84)/SUMIF(معالجة!$B$3:$X$3,K$2,معالجة!$B$4:$X$4),""))</f>
        <v/>
      </c>
      <c r="L84" s="51" t="str">
        <f>IF(OR(L$2="",COUNT(الرصد!$C84:$Y84)=0),"",IFERROR(SUMIF(معالجة!$B$3:$X$3,L$2,الرصد!$C84:$Y84)/SUMIF(معالجة!$B$3:$X$3,L$2,معالجة!$B$4:$X$4),""))</f>
        <v/>
      </c>
      <c r="M84" s="51" t="str">
        <f>IF(OR(M$2="",COUNT(الرصد!$C84:$Y84)=0),"",IFERROR(SUMIF(معالجة!$B$3:$X$3,M$2,الرصد!$C84:$Y84)/SUMIF(معالجة!$B$3:$X$3,M$2,معالجة!$B$4:$X$4),""))</f>
        <v/>
      </c>
      <c r="N84" s="51" t="str">
        <f>IF(OR(N$2="",COUNT(الرصد!$C84:$Y84)=0),"",IFERROR(SUMIF(معالجة!$B$3:$X$3,N$2,الرصد!$C84:$Y84)/SUMIF(معالجة!$B$3:$X$3,N$2,معالجة!$B$4:$X$4),""))</f>
        <v/>
      </c>
      <c r="O84" s="51" t="str">
        <f>IF(OR(O$2="",COUNT(الرصد!$C84:$Y84)=0),"",IFERROR(SUMIF(معالجة!$B$3:$X$3,O$2,الرصد!$C84:$Y84)/SUMIF(معالجة!$B$3:$X$3,O$2,معالجة!$B$4:$X$4),""))</f>
        <v/>
      </c>
      <c r="P84" s="51" t="str">
        <f>IF(OR(P$2="",COUNT(الرصد!$C84:$Y84)=0),"",IFERROR(SUMIF(معالجة!$B$3:$X$3,P$2,الرصد!$C84:$Y84)/SUMIF(معالجة!$B$3:$X$3,P$2,معالجة!$B$4:$X$4),""))</f>
        <v/>
      </c>
      <c r="Q84" s="51" t="str">
        <f>IF(OR(Q$2="",COUNT(الرصد!$C84:$Y84)=0),"",IFERROR(SUMIF(معالجة!$B$3:$X$3,Q$2,الرصد!$C84:$Y84)/SUMIF(معالجة!$B$3:$X$3,Q$2,معالجة!$B$4:$X$4),""))</f>
        <v/>
      </c>
      <c r="R84" s="51" t="str">
        <f>IF(OR(R$2="",COUNT(الرصد!$C84:$Y84)=0),"",IFERROR(SUMIF(معالجة!$B$3:$X$3,R$2,الرصد!$C84:$Y84)/SUMIF(معالجة!$B$3:$X$3,R$2,معالجة!$B$4:$X$4),""))</f>
        <v/>
      </c>
      <c r="S84" s="51" t="str">
        <f>IF(OR(S$2="",COUNT(الرصد!$C84:$Y84)=0),"",IFERROR(SUMIF(معالجة!$B$3:$X$3,S$2,الرصد!$C84:$Y84)/SUMIF(معالجة!$B$3:$X$3,S$2,معالجة!$B$4:$X$4),""))</f>
        <v/>
      </c>
      <c r="T84" s="51" t="str">
        <f>IF(OR(T$2="",COUNT(الرصد!$C84:$Y84)=0),"",IFERROR(SUMIF(معالجة!$B$3:$X$3,T$2,الرصد!$C84:$Y84)/SUMIF(معالجة!$B$3:$X$3,T$2,معالجة!$B$4:$X$4),""))</f>
        <v/>
      </c>
      <c r="U84" s="51" t="str">
        <f>IF(OR(U$2="",COUNT(الرصد!$C84:$Y84)=0),"",IFERROR(SUMIF(معالجة!$B$3:$X$3,U$2,الرصد!$C84:$Y84)/SUMIF(معالجة!$B$3:$X$3,U$2,معالجة!$B$4:$X$4),""))</f>
        <v/>
      </c>
      <c r="V84" s="51" t="str">
        <f>IF(OR(V$2="",COUNT(الرصد!$C84:$Y84)=0),"",IFERROR(SUMIF(معالجة!$B$3:$X$3,V$2,الرصد!$C84:$Y84)/SUMIF(معالجة!$B$3:$X$3,V$2,معالجة!$B$4:$X$4),""))</f>
        <v/>
      </c>
      <c r="W84" s="51" t="str">
        <f>IFERROR(C84/المهارات!$G$27,"")</f>
        <v/>
      </c>
    </row>
    <row r="85" spans="1:23" ht="14.25" customHeight="1">
      <c r="A85" s="42" t="s">
        <v>154</v>
      </c>
      <c r="B85" s="42" t="s">
        <v>20</v>
      </c>
      <c r="C85" s="50" t="str">
        <f>IF(COUNT(الرصد!C85:Y85)=0,"",SUM(الرصد!C85:Y85))</f>
        <v/>
      </c>
      <c r="D85" s="51" t="str">
        <f>IF(OR(D$2="",COUNT(الرصد!$C85:$Y85)=0),"",IFERROR(SUMIF(معالجة!$B$3:$X$3,D$2,الرصد!$C85:$Y85)/SUMIF(معالجة!$B$3:$X$3,D$2,معالجة!$B$4:$X$4),""))</f>
        <v/>
      </c>
      <c r="E85" s="51" t="str">
        <f>IF(OR(E$2="",COUNT(الرصد!$C85:$Y85)=0),"",IFERROR(SUMIF(معالجة!$B$3:$X$3,E$2,الرصد!$C85:$Y85)/SUMIF(معالجة!$B$3:$X$3,E$2,معالجة!$B$4:$X$4),""))</f>
        <v/>
      </c>
      <c r="F85" s="51" t="str">
        <f>IF(OR(F$2="",COUNT(الرصد!$C85:$Y85)=0),"",IFERROR(SUMIF(معالجة!$B$3:$X$3,F$2,الرصد!$C85:$Y85)/SUMIF(معالجة!$B$3:$X$3,F$2,معالجة!$B$4:$X$4),""))</f>
        <v/>
      </c>
      <c r="G85" s="51" t="str">
        <f>IF(OR(G$2="",COUNT(الرصد!$C85:$Y85)=0),"",IFERROR(SUMIF(معالجة!$B$3:$X$3,G$2,الرصد!$C85:$Y85)/SUMIF(معالجة!$B$3:$X$3,G$2,معالجة!$B$4:$X$4),""))</f>
        <v/>
      </c>
      <c r="H85" s="51" t="str">
        <f>IF(OR(H$2="",COUNT(الرصد!$C85:$Y85)=0),"",IFERROR(SUMIF(معالجة!$B$3:$X$3,H$2,الرصد!$C85:$Y85)/SUMIF(معالجة!$B$3:$X$3,H$2,معالجة!$B$4:$X$4),""))</f>
        <v/>
      </c>
      <c r="I85" s="51" t="str">
        <f>IF(OR(I$2="",COUNT(الرصد!$C85:$Y85)=0),"",IFERROR(SUMIF(معالجة!$B$3:$X$3,I$2,الرصد!$C85:$Y85)/SUMIF(معالجة!$B$3:$X$3,I$2,معالجة!$B$4:$X$4),""))</f>
        <v/>
      </c>
      <c r="J85" s="51" t="str">
        <f>IF(OR(J$2="",COUNT(الرصد!$C85:$Y85)=0),"",IFERROR(SUMIF(معالجة!$B$3:$X$3,J$2,الرصد!$C85:$Y85)/SUMIF(معالجة!$B$3:$X$3,J$2,معالجة!$B$4:$X$4),""))</f>
        <v/>
      </c>
      <c r="K85" s="51" t="str">
        <f>IF(OR(K$2="",COUNT(الرصد!$C85:$Y85)=0),"",IFERROR(SUMIF(معالجة!$B$3:$X$3,K$2,الرصد!$C85:$Y85)/SUMIF(معالجة!$B$3:$X$3,K$2,معالجة!$B$4:$X$4),""))</f>
        <v/>
      </c>
      <c r="L85" s="51" t="str">
        <f>IF(OR(L$2="",COUNT(الرصد!$C85:$Y85)=0),"",IFERROR(SUMIF(معالجة!$B$3:$X$3,L$2,الرصد!$C85:$Y85)/SUMIF(معالجة!$B$3:$X$3,L$2,معالجة!$B$4:$X$4),""))</f>
        <v/>
      </c>
      <c r="M85" s="51" t="str">
        <f>IF(OR(M$2="",COUNT(الرصد!$C85:$Y85)=0),"",IFERROR(SUMIF(معالجة!$B$3:$X$3,M$2,الرصد!$C85:$Y85)/SUMIF(معالجة!$B$3:$X$3,M$2,معالجة!$B$4:$X$4),""))</f>
        <v/>
      </c>
      <c r="N85" s="51" t="str">
        <f>IF(OR(N$2="",COUNT(الرصد!$C85:$Y85)=0),"",IFERROR(SUMIF(معالجة!$B$3:$X$3,N$2,الرصد!$C85:$Y85)/SUMIF(معالجة!$B$3:$X$3,N$2,معالجة!$B$4:$X$4),""))</f>
        <v/>
      </c>
      <c r="O85" s="51" t="str">
        <f>IF(OR(O$2="",COUNT(الرصد!$C85:$Y85)=0),"",IFERROR(SUMIF(معالجة!$B$3:$X$3,O$2,الرصد!$C85:$Y85)/SUMIF(معالجة!$B$3:$X$3,O$2,معالجة!$B$4:$X$4),""))</f>
        <v/>
      </c>
      <c r="P85" s="51" t="str">
        <f>IF(OR(P$2="",COUNT(الرصد!$C85:$Y85)=0),"",IFERROR(SUMIF(معالجة!$B$3:$X$3,P$2,الرصد!$C85:$Y85)/SUMIF(معالجة!$B$3:$X$3,P$2,معالجة!$B$4:$X$4),""))</f>
        <v/>
      </c>
      <c r="Q85" s="51" t="str">
        <f>IF(OR(Q$2="",COUNT(الرصد!$C85:$Y85)=0),"",IFERROR(SUMIF(معالجة!$B$3:$X$3,Q$2,الرصد!$C85:$Y85)/SUMIF(معالجة!$B$3:$X$3,Q$2,معالجة!$B$4:$X$4),""))</f>
        <v/>
      </c>
      <c r="R85" s="51" t="str">
        <f>IF(OR(R$2="",COUNT(الرصد!$C85:$Y85)=0),"",IFERROR(SUMIF(معالجة!$B$3:$X$3,R$2,الرصد!$C85:$Y85)/SUMIF(معالجة!$B$3:$X$3,R$2,معالجة!$B$4:$X$4),""))</f>
        <v/>
      </c>
      <c r="S85" s="51" t="str">
        <f>IF(OR(S$2="",COUNT(الرصد!$C85:$Y85)=0),"",IFERROR(SUMIF(معالجة!$B$3:$X$3,S$2,الرصد!$C85:$Y85)/SUMIF(معالجة!$B$3:$X$3,S$2,معالجة!$B$4:$X$4),""))</f>
        <v/>
      </c>
      <c r="T85" s="51" t="str">
        <f>IF(OR(T$2="",COUNT(الرصد!$C85:$Y85)=0),"",IFERROR(SUMIF(معالجة!$B$3:$X$3,T$2,الرصد!$C85:$Y85)/SUMIF(معالجة!$B$3:$X$3,T$2,معالجة!$B$4:$X$4),""))</f>
        <v/>
      </c>
      <c r="U85" s="51" t="str">
        <f>IF(OR(U$2="",COUNT(الرصد!$C85:$Y85)=0),"",IFERROR(SUMIF(معالجة!$B$3:$X$3,U$2,الرصد!$C85:$Y85)/SUMIF(معالجة!$B$3:$X$3,U$2,معالجة!$B$4:$X$4),""))</f>
        <v/>
      </c>
      <c r="V85" s="51" t="str">
        <f>IF(OR(V$2="",COUNT(الرصد!$C85:$Y85)=0),"",IFERROR(SUMIF(معالجة!$B$3:$X$3,V$2,الرصد!$C85:$Y85)/SUMIF(معالجة!$B$3:$X$3,V$2,معالجة!$B$4:$X$4),""))</f>
        <v/>
      </c>
      <c r="W85" s="51" t="str">
        <f>IFERROR(C85/المهارات!$G$27,"")</f>
        <v/>
      </c>
    </row>
    <row r="86" spans="1:23" ht="14.25" customHeight="1">
      <c r="A86" s="46" t="s">
        <v>155</v>
      </c>
      <c r="B86" s="46" t="s">
        <v>20</v>
      </c>
      <c r="C86" s="52" t="str">
        <f>IF(COUNT(الرصد!C86:Y86)=0,"",SUM(الرصد!C86:Y86))</f>
        <v/>
      </c>
      <c r="D86" s="51" t="str">
        <f>IF(OR(D$2="",COUNT(الرصد!$C86:$Y86)=0),"",IFERROR(SUMIF(معالجة!$B$3:$X$3,D$2,الرصد!$C86:$Y86)/SUMIF(معالجة!$B$3:$X$3,D$2,معالجة!$B$4:$X$4),""))</f>
        <v/>
      </c>
      <c r="E86" s="51" t="str">
        <f>IF(OR(E$2="",COUNT(الرصد!$C86:$Y86)=0),"",IFERROR(SUMIF(معالجة!$B$3:$X$3,E$2,الرصد!$C86:$Y86)/SUMIF(معالجة!$B$3:$X$3,E$2,معالجة!$B$4:$X$4),""))</f>
        <v/>
      </c>
      <c r="F86" s="51" t="str">
        <f>IF(OR(F$2="",COUNT(الرصد!$C86:$Y86)=0),"",IFERROR(SUMIF(معالجة!$B$3:$X$3,F$2,الرصد!$C86:$Y86)/SUMIF(معالجة!$B$3:$X$3,F$2,معالجة!$B$4:$X$4),""))</f>
        <v/>
      </c>
      <c r="G86" s="51" t="str">
        <f>IF(OR(G$2="",COUNT(الرصد!$C86:$Y86)=0),"",IFERROR(SUMIF(معالجة!$B$3:$X$3,G$2,الرصد!$C86:$Y86)/SUMIF(معالجة!$B$3:$X$3,G$2,معالجة!$B$4:$X$4),""))</f>
        <v/>
      </c>
      <c r="H86" s="51" t="str">
        <f>IF(OR(H$2="",COUNT(الرصد!$C86:$Y86)=0),"",IFERROR(SUMIF(معالجة!$B$3:$X$3,H$2,الرصد!$C86:$Y86)/SUMIF(معالجة!$B$3:$X$3,H$2,معالجة!$B$4:$X$4),""))</f>
        <v/>
      </c>
      <c r="I86" s="51" t="str">
        <f>IF(OR(I$2="",COUNT(الرصد!$C86:$Y86)=0),"",IFERROR(SUMIF(معالجة!$B$3:$X$3,I$2,الرصد!$C86:$Y86)/SUMIF(معالجة!$B$3:$X$3,I$2,معالجة!$B$4:$X$4),""))</f>
        <v/>
      </c>
      <c r="J86" s="51" t="str">
        <f>IF(OR(J$2="",COUNT(الرصد!$C86:$Y86)=0),"",IFERROR(SUMIF(معالجة!$B$3:$X$3,J$2,الرصد!$C86:$Y86)/SUMIF(معالجة!$B$3:$X$3,J$2,معالجة!$B$4:$X$4),""))</f>
        <v/>
      </c>
      <c r="K86" s="51" t="str">
        <f>IF(OR(K$2="",COUNT(الرصد!$C86:$Y86)=0),"",IFERROR(SUMIF(معالجة!$B$3:$X$3,K$2,الرصد!$C86:$Y86)/SUMIF(معالجة!$B$3:$X$3,K$2,معالجة!$B$4:$X$4),""))</f>
        <v/>
      </c>
      <c r="L86" s="51" t="str">
        <f>IF(OR(L$2="",COUNT(الرصد!$C86:$Y86)=0),"",IFERROR(SUMIF(معالجة!$B$3:$X$3,L$2,الرصد!$C86:$Y86)/SUMIF(معالجة!$B$3:$X$3,L$2,معالجة!$B$4:$X$4),""))</f>
        <v/>
      </c>
      <c r="M86" s="51" t="str">
        <f>IF(OR(M$2="",COUNT(الرصد!$C86:$Y86)=0),"",IFERROR(SUMIF(معالجة!$B$3:$X$3,M$2,الرصد!$C86:$Y86)/SUMIF(معالجة!$B$3:$X$3,M$2,معالجة!$B$4:$X$4),""))</f>
        <v/>
      </c>
      <c r="N86" s="51" t="str">
        <f>IF(OR(N$2="",COUNT(الرصد!$C86:$Y86)=0),"",IFERROR(SUMIF(معالجة!$B$3:$X$3,N$2,الرصد!$C86:$Y86)/SUMIF(معالجة!$B$3:$X$3,N$2,معالجة!$B$4:$X$4),""))</f>
        <v/>
      </c>
      <c r="O86" s="51" t="str">
        <f>IF(OR(O$2="",COUNT(الرصد!$C86:$Y86)=0),"",IFERROR(SUMIF(معالجة!$B$3:$X$3,O$2,الرصد!$C86:$Y86)/SUMIF(معالجة!$B$3:$X$3,O$2,معالجة!$B$4:$X$4),""))</f>
        <v/>
      </c>
      <c r="P86" s="51" t="str">
        <f>IF(OR(P$2="",COUNT(الرصد!$C86:$Y86)=0),"",IFERROR(SUMIF(معالجة!$B$3:$X$3,P$2,الرصد!$C86:$Y86)/SUMIF(معالجة!$B$3:$X$3,P$2,معالجة!$B$4:$X$4),""))</f>
        <v/>
      </c>
      <c r="Q86" s="51" t="str">
        <f>IF(OR(Q$2="",COUNT(الرصد!$C86:$Y86)=0),"",IFERROR(SUMIF(معالجة!$B$3:$X$3,Q$2,الرصد!$C86:$Y86)/SUMIF(معالجة!$B$3:$X$3,Q$2,معالجة!$B$4:$X$4),""))</f>
        <v/>
      </c>
      <c r="R86" s="51" t="str">
        <f>IF(OR(R$2="",COUNT(الرصد!$C86:$Y86)=0),"",IFERROR(SUMIF(معالجة!$B$3:$X$3,R$2,الرصد!$C86:$Y86)/SUMIF(معالجة!$B$3:$X$3,R$2,معالجة!$B$4:$X$4),""))</f>
        <v/>
      </c>
      <c r="S86" s="51" t="str">
        <f>IF(OR(S$2="",COUNT(الرصد!$C86:$Y86)=0),"",IFERROR(SUMIF(معالجة!$B$3:$X$3,S$2,الرصد!$C86:$Y86)/SUMIF(معالجة!$B$3:$X$3,S$2,معالجة!$B$4:$X$4),""))</f>
        <v/>
      </c>
      <c r="T86" s="51" t="str">
        <f>IF(OR(T$2="",COUNT(الرصد!$C86:$Y86)=0),"",IFERROR(SUMIF(معالجة!$B$3:$X$3,T$2,الرصد!$C86:$Y86)/SUMIF(معالجة!$B$3:$X$3,T$2,معالجة!$B$4:$X$4),""))</f>
        <v/>
      </c>
      <c r="U86" s="51" t="str">
        <f>IF(OR(U$2="",COUNT(الرصد!$C86:$Y86)=0),"",IFERROR(SUMIF(معالجة!$B$3:$X$3,U$2,الرصد!$C86:$Y86)/SUMIF(معالجة!$B$3:$X$3,U$2,معالجة!$B$4:$X$4),""))</f>
        <v/>
      </c>
      <c r="V86" s="51" t="str">
        <f>IF(OR(V$2="",COUNT(الرصد!$C86:$Y86)=0),"",IFERROR(SUMIF(معالجة!$B$3:$X$3,V$2,الرصد!$C86:$Y86)/SUMIF(معالجة!$B$3:$X$3,V$2,معالجة!$B$4:$X$4),""))</f>
        <v/>
      </c>
      <c r="W86" s="51" t="str">
        <f>IFERROR(C86/المهارات!$G$27,"")</f>
        <v/>
      </c>
    </row>
    <row r="87" spans="1:23" ht="14.25" customHeight="1">
      <c r="A87" s="42" t="s">
        <v>156</v>
      </c>
      <c r="B87" s="42" t="s">
        <v>20</v>
      </c>
      <c r="C87" s="50" t="str">
        <f>IF(COUNT(الرصد!C87:Y87)=0,"",SUM(الرصد!C87:Y87))</f>
        <v/>
      </c>
      <c r="D87" s="51" t="str">
        <f>IF(OR(D$2="",COUNT(الرصد!$C87:$Y87)=0),"",IFERROR(SUMIF(معالجة!$B$3:$X$3,D$2,الرصد!$C87:$Y87)/SUMIF(معالجة!$B$3:$X$3,D$2,معالجة!$B$4:$X$4),""))</f>
        <v/>
      </c>
      <c r="E87" s="51" t="str">
        <f>IF(OR(E$2="",COUNT(الرصد!$C87:$Y87)=0),"",IFERROR(SUMIF(معالجة!$B$3:$X$3,E$2,الرصد!$C87:$Y87)/SUMIF(معالجة!$B$3:$X$3,E$2,معالجة!$B$4:$X$4),""))</f>
        <v/>
      </c>
      <c r="F87" s="51" t="str">
        <f>IF(OR(F$2="",COUNT(الرصد!$C87:$Y87)=0),"",IFERROR(SUMIF(معالجة!$B$3:$X$3,F$2,الرصد!$C87:$Y87)/SUMIF(معالجة!$B$3:$X$3,F$2,معالجة!$B$4:$X$4),""))</f>
        <v/>
      </c>
      <c r="G87" s="51" t="str">
        <f>IF(OR(G$2="",COUNT(الرصد!$C87:$Y87)=0),"",IFERROR(SUMIF(معالجة!$B$3:$X$3,G$2,الرصد!$C87:$Y87)/SUMIF(معالجة!$B$3:$X$3,G$2,معالجة!$B$4:$X$4),""))</f>
        <v/>
      </c>
      <c r="H87" s="51" t="str">
        <f>IF(OR(H$2="",COUNT(الرصد!$C87:$Y87)=0),"",IFERROR(SUMIF(معالجة!$B$3:$X$3,H$2,الرصد!$C87:$Y87)/SUMIF(معالجة!$B$3:$X$3,H$2,معالجة!$B$4:$X$4),""))</f>
        <v/>
      </c>
      <c r="I87" s="51" t="str">
        <f>IF(OR(I$2="",COUNT(الرصد!$C87:$Y87)=0),"",IFERROR(SUMIF(معالجة!$B$3:$X$3,I$2,الرصد!$C87:$Y87)/SUMIF(معالجة!$B$3:$X$3,I$2,معالجة!$B$4:$X$4),""))</f>
        <v/>
      </c>
      <c r="J87" s="51" t="str">
        <f>IF(OR(J$2="",COUNT(الرصد!$C87:$Y87)=0),"",IFERROR(SUMIF(معالجة!$B$3:$X$3,J$2,الرصد!$C87:$Y87)/SUMIF(معالجة!$B$3:$X$3,J$2,معالجة!$B$4:$X$4),""))</f>
        <v/>
      </c>
      <c r="K87" s="51" t="str">
        <f>IF(OR(K$2="",COUNT(الرصد!$C87:$Y87)=0),"",IFERROR(SUMIF(معالجة!$B$3:$X$3,K$2,الرصد!$C87:$Y87)/SUMIF(معالجة!$B$3:$X$3,K$2,معالجة!$B$4:$X$4),""))</f>
        <v/>
      </c>
      <c r="L87" s="51" t="str">
        <f>IF(OR(L$2="",COUNT(الرصد!$C87:$Y87)=0),"",IFERROR(SUMIF(معالجة!$B$3:$X$3,L$2,الرصد!$C87:$Y87)/SUMIF(معالجة!$B$3:$X$3,L$2,معالجة!$B$4:$X$4),""))</f>
        <v/>
      </c>
      <c r="M87" s="51" t="str">
        <f>IF(OR(M$2="",COUNT(الرصد!$C87:$Y87)=0),"",IFERROR(SUMIF(معالجة!$B$3:$X$3,M$2,الرصد!$C87:$Y87)/SUMIF(معالجة!$B$3:$X$3,M$2,معالجة!$B$4:$X$4),""))</f>
        <v/>
      </c>
      <c r="N87" s="51" t="str">
        <f>IF(OR(N$2="",COUNT(الرصد!$C87:$Y87)=0),"",IFERROR(SUMIF(معالجة!$B$3:$X$3,N$2,الرصد!$C87:$Y87)/SUMIF(معالجة!$B$3:$X$3,N$2,معالجة!$B$4:$X$4),""))</f>
        <v/>
      </c>
      <c r="O87" s="51" t="str">
        <f>IF(OR(O$2="",COUNT(الرصد!$C87:$Y87)=0),"",IFERROR(SUMIF(معالجة!$B$3:$X$3,O$2,الرصد!$C87:$Y87)/SUMIF(معالجة!$B$3:$X$3,O$2,معالجة!$B$4:$X$4),""))</f>
        <v/>
      </c>
      <c r="P87" s="51" t="str">
        <f>IF(OR(P$2="",COUNT(الرصد!$C87:$Y87)=0),"",IFERROR(SUMIF(معالجة!$B$3:$X$3,P$2,الرصد!$C87:$Y87)/SUMIF(معالجة!$B$3:$X$3,P$2,معالجة!$B$4:$X$4),""))</f>
        <v/>
      </c>
      <c r="Q87" s="51" t="str">
        <f>IF(OR(Q$2="",COUNT(الرصد!$C87:$Y87)=0),"",IFERROR(SUMIF(معالجة!$B$3:$X$3,Q$2,الرصد!$C87:$Y87)/SUMIF(معالجة!$B$3:$X$3,Q$2,معالجة!$B$4:$X$4),""))</f>
        <v/>
      </c>
      <c r="R87" s="51" t="str">
        <f>IF(OR(R$2="",COUNT(الرصد!$C87:$Y87)=0),"",IFERROR(SUMIF(معالجة!$B$3:$X$3,R$2,الرصد!$C87:$Y87)/SUMIF(معالجة!$B$3:$X$3,R$2,معالجة!$B$4:$X$4),""))</f>
        <v/>
      </c>
      <c r="S87" s="51" t="str">
        <f>IF(OR(S$2="",COUNT(الرصد!$C87:$Y87)=0),"",IFERROR(SUMIF(معالجة!$B$3:$X$3,S$2,الرصد!$C87:$Y87)/SUMIF(معالجة!$B$3:$X$3,S$2,معالجة!$B$4:$X$4),""))</f>
        <v/>
      </c>
      <c r="T87" s="51" t="str">
        <f>IF(OR(T$2="",COUNT(الرصد!$C87:$Y87)=0),"",IFERROR(SUMIF(معالجة!$B$3:$X$3,T$2,الرصد!$C87:$Y87)/SUMIF(معالجة!$B$3:$X$3,T$2,معالجة!$B$4:$X$4),""))</f>
        <v/>
      </c>
      <c r="U87" s="51" t="str">
        <f>IF(OR(U$2="",COUNT(الرصد!$C87:$Y87)=0),"",IFERROR(SUMIF(معالجة!$B$3:$X$3,U$2,الرصد!$C87:$Y87)/SUMIF(معالجة!$B$3:$X$3,U$2,معالجة!$B$4:$X$4),""))</f>
        <v/>
      </c>
      <c r="V87" s="51" t="str">
        <f>IF(OR(V$2="",COUNT(الرصد!$C87:$Y87)=0),"",IFERROR(SUMIF(معالجة!$B$3:$X$3,V$2,الرصد!$C87:$Y87)/SUMIF(معالجة!$B$3:$X$3,V$2,معالجة!$B$4:$X$4),""))</f>
        <v/>
      </c>
      <c r="W87" s="51" t="str">
        <f>IFERROR(C87/المهارات!$G$27,"")</f>
        <v/>
      </c>
    </row>
    <row r="88" spans="1:23" ht="14.25" customHeight="1">
      <c r="A88" s="46" t="s">
        <v>157</v>
      </c>
      <c r="B88" s="46" t="s">
        <v>20</v>
      </c>
      <c r="C88" s="52" t="str">
        <f>IF(COUNT(الرصد!C88:Y88)=0,"",SUM(الرصد!C88:Y88))</f>
        <v/>
      </c>
      <c r="D88" s="51" t="str">
        <f>IF(OR(D$2="",COUNT(الرصد!$C88:$Y88)=0),"",IFERROR(SUMIF(معالجة!$B$3:$X$3,D$2,الرصد!$C88:$Y88)/SUMIF(معالجة!$B$3:$X$3,D$2,معالجة!$B$4:$X$4),""))</f>
        <v/>
      </c>
      <c r="E88" s="51" t="str">
        <f>IF(OR(E$2="",COUNT(الرصد!$C88:$Y88)=0),"",IFERROR(SUMIF(معالجة!$B$3:$X$3,E$2,الرصد!$C88:$Y88)/SUMIF(معالجة!$B$3:$X$3,E$2,معالجة!$B$4:$X$4),""))</f>
        <v/>
      </c>
      <c r="F88" s="51" t="str">
        <f>IF(OR(F$2="",COUNT(الرصد!$C88:$Y88)=0),"",IFERROR(SUMIF(معالجة!$B$3:$X$3,F$2,الرصد!$C88:$Y88)/SUMIF(معالجة!$B$3:$X$3,F$2,معالجة!$B$4:$X$4),""))</f>
        <v/>
      </c>
      <c r="G88" s="51" t="str">
        <f>IF(OR(G$2="",COUNT(الرصد!$C88:$Y88)=0),"",IFERROR(SUMIF(معالجة!$B$3:$X$3,G$2,الرصد!$C88:$Y88)/SUMIF(معالجة!$B$3:$X$3,G$2,معالجة!$B$4:$X$4),""))</f>
        <v/>
      </c>
      <c r="H88" s="51" t="str">
        <f>IF(OR(H$2="",COUNT(الرصد!$C88:$Y88)=0),"",IFERROR(SUMIF(معالجة!$B$3:$X$3,H$2,الرصد!$C88:$Y88)/SUMIF(معالجة!$B$3:$X$3,H$2,معالجة!$B$4:$X$4),""))</f>
        <v/>
      </c>
      <c r="I88" s="51" t="str">
        <f>IF(OR(I$2="",COUNT(الرصد!$C88:$Y88)=0),"",IFERROR(SUMIF(معالجة!$B$3:$X$3,I$2,الرصد!$C88:$Y88)/SUMIF(معالجة!$B$3:$X$3,I$2,معالجة!$B$4:$X$4),""))</f>
        <v/>
      </c>
      <c r="J88" s="51" t="str">
        <f>IF(OR(J$2="",COUNT(الرصد!$C88:$Y88)=0),"",IFERROR(SUMIF(معالجة!$B$3:$X$3,J$2,الرصد!$C88:$Y88)/SUMIF(معالجة!$B$3:$X$3,J$2,معالجة!$B$4:$X$4),""))</f>
        <v/>
      </c>
      <c r="K88" s="51" t="str">
        <f>IF(OR(K$2="",COUNT(الرصد!$C88:$Y88)=0),"",IFERROR(SUMIF(معالجة!$B$3:$X$3,K$2,الرصد!$C88:$Y88)/SUMIF(معالجة!$B$3:$X$3,K$2,معالجة!$B$4:$X$4),""))</f>
        <v/>
      </c>
      <c r="L88" s="51" t="str">
        <f>IF(OR(L$2="",COUNT(الرصد!$C88:$Y88)=0),"",IFERROR(SUMIF(معالجة!$B$3:$X$3,L$2,الرصد!$C88:$Y88)/SUMIF(معالجة!$B$3:$X$3,L$2,معالجة!$B$4:$X$4),""))</f>
        <v/>
      </c>
      <c r="M88" s="51" t="str">
        <f>IF(OR(M$2="",COUNT(الرصد!$C88:$Y88)=0),"",IFERROR(SUMIF(معالجة!$B$3:$X$3,M$2,الرصد!$C88:$Y88)/SUMIF(معالجة!$B$3:$X$3,M$2,معالجة!$B$4:$X$4),""))</f>
        <v/>
      </c>
      <c r="N88" s="51" t="str">
        <f>IF(OR(N$2="",COUNT(الرصد!$C88:$Y88)=0),"",IFERROR(SUMIF(معالجة!$B$3:$X$3,N$2,الرصد!$C88:$Y88)/SUMIF(معالجة!$B$3:$X$3,N$2,معالجة!$B$4:$X$4),""))</f>
        <v/>
      </c>
      <c r="O88" s="51" t="str">
        <f>IF(OR(O$2="",COUNT(الرصد!$C88:$Y88)=0),"",IFERROR(SUMIF(معالجة!$B$3:$X$3,O$2,الرصد!$C88:$Y88)/SUMIF(معالجة!$B$3:$X$3,O$2,معالجة!$B$4:$X$4),""))</f>
        <v/>
      </c>
      <c r="P88" s="51" t="str">
        <f>IF(OR(P$2="",COUNT(الرصد!$C88:$Y88)=0),"",IFERROR(SUMIF(معالجة!$B$3:$X$3,P$2,الرصد!$C88:$Y88)/SUMIF(معالجة!$B$3:$X$3,P$2,معالجة!$B$4:$X$4),""))</f>
        <v/>
      </c>
      <c r="Q88" s="51" t="str">
        <f>IF(OR(Q$2="",COUNT(الرصد!$C88:$Y88)=0),"",IFERROR(SUMIF(معالجة!$B$3:$X$3,Q$2,الرصد!$C88:$Y88)/SUMIF(معالجة!$B$3:$X$3,Q$2,معالجة!$B$4:$X$4),""))</f>
        <v/>
      </c>
      <c r="R88" s="51" t="str">
        <f>IF(OR(R$2="",COUNT(الرصد!$C88:$Y88)=0),"",IFERROR(SUMIF(معالجة!$B$3:$X$3,R$2,الرصد!$C88:$Y88)/SUMIF(معالجة!$B$3:$X$3,R$2,معالجة!$B$4:$X$4),""))</f>
        <v/>
      </c>
      <c r="S88" s="51" t="str">
        <f>IF(OR(S$2="",COUNT(الرصد!$C88:$Y88)=0),"",IFERROR(SUMIF(معالجة!$B$3:$X$3,S$2,الرصد!$C88:$Y88)/SUMIF(معالجة!$B$3:$X$3,S$2,معالجة!$B$4:$X$4),""))</f>
        <v/>
      </c>
      <c r="T88" s="51" t="str">
        <f>IF(OR(T$2="",COUNT(الرصد!$C88:$Y88)=0),"",IFERROR(SUMIF(معالجة!$B$3:$X$3,T$2,الرصد!$C88:$Y88)/SUMIF(معالجة!$B$3:$X$3,T$2,معالجة!$B$4:$X$4),""))</f>
        <v/>
      </c>
      <c r="U88" s="51" t="str">
        <f>IF(OR(U$2="",COUNT(الرصد!$C88:$Y88)=0),"",IFERROR(SUMIF(معالجة!$B$3:$X$3,U$2,الرصد!$C88:$Y88)/SUMIF(معالجة!$B$3:$X$3,U$2,معالجة!$B$4:$X$4),""))</f>
        <v/>
      </c>
      <c r="V88" s="51" t="str">
        <f>IF(OR(V$2="",COUNT(الرصد!$C88:$Y88)=0),"",IFERROR(SUMIF(معالجة!$B$3:$X$3,V$2,الرصد!$C88:$Y88)/SUMIF(معالجة!$B$3:$X$3,V$2,معالجة!$B$4:$X$4),""))</f>
        <v/>
      </c>
      <c r="W88" s="51" t="str">
        <f>IFERROR(C88/المهارات!$G$27,"")</f>
        <v/>
      </c>
    </row>
    <row r="89" spans="1:23" ht="14.25" customHeight="1">
      <c r="A89" s="42" t="s">
        <v>158</v>
      </c>
      <c r="B89" s="42" t="s">
        <v>21</v>
      </c>
      <c r="C89" s="50" t="str">
        <f>IF(COUNT(الرصد!C89:Y89)=0,"",SUM(الرصد!C89:Y89))</f>
        <v/>
      </c>
      <c r="D89" s="51" t="str">
        <f>IF(OR(D$2="",COUNT(الرصد!$C89:$Y89)=0),"",IFERROR(SUMIF(معالجة!$B$3:$X$3,D$2,الرصد!$C89:$Y89)/SUMIF(معالجة!$B$3:$X$3,D$2,معالجة!$B$4:$X$4),""))</f>
        <v/>
      </c>
      <c r="E89" s="51" t="str">
        <f>IF(OR(E$2="",COUNT(الرصد!$C89:$Y89)=0),"",IFERROR(SUMIF(معالجة!$B$3:$X$3,E$2,الرصد!$C89:$Y89)/SUMIF(معالجة!$B$3:$X$3,E$2,معالجة!$B$4:$X$4),""))</f>
        <v/>
      </c>
      <c r="F89" s="51" t="str">
        <f>IF(OR(F$2="",COUNT(الرصد!$C89:$Y89)=0),"",IFERROR(SUMIF(معالجة!$B$3:$X$3,F$2,الرصد!$C89:$Y89)/SUMIF(معالجة!$B$3:$X$3,F$2,معالجة!$B$4:$X$4),""))</f>
        <v/>
      </c>
      <c r="G89" s="51" t="str">
        <f>IF(OR(G$2="",COUNT(الرصد!$C89:$Y89)=0),"",IFERROR(SUMIF(معالجة!$B$3:$X$3,G$2,الرصد!$C89:$Y89)/SUMIF(معالجة!$B$3:$X$3,G$2,معالجة!$B$4:$X$4),""))</f>
        <v/>
      </c>
      <c r="H89" s="51" t="str">
        <f>IF(OR(H$2="",COUNT(الرصد!$C89:$Y89)=0),"",IFERROR(SUMIF(معالجة!$B$3:$X$3,H$2,الرصد!$C89:$Y89)/SUMIF(معالجة!$B$3:$X$3,H$2,معالجة!$B$4:$X$4),""))</f>
        <v/>
      </c>
      <c r="I89" s="51" t="str">
        <f>IF(OR(I$2="",COUNT(الرصد!$C89:$Y89)=0),"",IFERROR(SUMIF(معالجة!$B$3:$X$3,I$2,الرصد!$C89:$Y89)/SUMIF(معالجة!$B$3:$X$3,I$2,معالجة!$B$4:$X$4),""))</f>
        <v/>
      </c>
      <c r="J89" s="51" t="str">
        <f>IF(OR(J$2="",COUNT(الرصد!$C89:$Y89)=0),"",IFERROR(SUMIF(معالجة!$B$3:$X$3,J$2,الرصد!$C89:$Y89)/SUMIF(معالجة!$B$3:$X$3,J$2,معالجة!$B$4:$X$4),""))</f>
        <v/>
      </c>
      <c r="K89" s="51" t="str">
        <f>IF(OR(K$2="",COUNT(الرصد!$C89:$Y89)=0),"",IFERROR(SUMIF(معالجة!$B$3:$X$3,K$2,الرصد!$C89:$Y89)/SUMIF(معالجة!$B$3:$X$3,K$2,معالجة!$B$4:$X$4),""))</f>
        <v/>
      </c>
      <c r="L89" s="51" t="str">
        <f>IF(OR(L$2="",COUNT(الرصد!$C89:$Y89)=0),"",IFERROR(SUMIF(معالجة!$B$3:$X$3,L$2,الرصد!$C89:$Y89)/SUMIF(معالجة!$B$3:$X$3,L$2,معالجة!$B$4:$X$4),""))</f>
        <v/>
      </c>
      <c r="M89" s="51" t="str">
        <f>IF(OR(M$2="",COUNT(الرصد!$C89:$Y89)=0),"",IFERROR(SUMIF(معالجة!$B$3:$X$3,M$2,الرصد!$C89:$Y89)/SUMIF(معالجة!$B$3:$X$3,M$2,معالجة!$B$4:$X$4),""))</f>
        <v/>
      </c>
      <c r="N89" s="51" t="str">
        <f>IF(OR(N$2="",COUNT(الرصد!$C89:$Y89)=0),"",IFERROR(SUMIF(معالجة!$B$3:$X$3,N$2,الرصد!$C89:$Y89)/SUMIF(معالجة!$B$3:$X$3,N$2,معالجة!$B$4:$X$4),""))</f>
        <v/>
      </c>
      <c r="O89" s="51" t="str">
        <f>IF(OR(O$2="",COUNT(الرصد!$C89:$Y89)=0),"",IFERROR(SUMIF(معالجة!$B$3:$X$3,O$2,الرصد!$C89:$Y89)/SUMIF(معالجة!$B$3:$X$3,O$2,معالجة!$B$4:$X$4),""))</f>
        <v/>
      </c>
      <c r="P89" s="51" t="str">
        <f>IF(OR(P$2="",COUNT(الرصد!$C89:$Y89)=0),"",IFERROR(SUMIF(معالجة!$B$3:$X$3,P$2,الرصد!$C89:$Y89)/SUMIF(معالجة!$B$3:$X$3,P$2,معالجة!$B$4:$X$4),""))</f>
        <v/>
      </c>
      <c r="Q89" s="51" t="str">
        <f>IF(OR(Q$2="",COUNT(الرصد!$C89:$Y89)=0),"",IFERROR(SUMIF(معالجة!$B$3:$X$3,Q$2,الرصد!$C89:$Y89)/SUMIF(معالجة!$B$3:$X$3,Q$2,معالجة!$B$4:$X$4),""))</f>
        <v/>
      </c>
      <c r="R89" s="51" t="str">
        <f>IF(OR(R$2="",COUNT(الرصد!$C89:$Y89)=0),"",IFERROR(SUMIF(معالجة!$B$3:$X$3,R$2,الرصد!$C89:$Y89)/SUMIF(معالجة!$B$3:$X$3,R$2,معالجة!$B$4:$X$4),""))</f>
        <v/>
      </c>
      <c r="S89" s="51" t="str">
        <f>IF(OR(S$2="",COUNT(الرصد!$C89:$Y89)=0),"",IFERROR(SUMIF(معالجة!$B$3:$X$3,S$2,الرصد!$C89:$Y89)/SUMIF(معالجة!$B$3:$X$3,S$2,معالجة!$B$4:$X$4),""))</f>
        <v/>
      </c>
      <c r="T89" s="51" t="str">
        <f>IF(OR(T$2="",COUNT(الرصد!$C89:$Y89)=0),"",IFERROR(SUMIF(معالجة!$B$3:$X$3,T$2,الرصد!$C89:$Y89)/SUMIF(معالجة!$B$3:$X$3,T$2,معالجة!$B$4:$X$4),""))</f>
        <v/>
      </c>
      <c r="U89" s="51" t="str">
        <f>IF(OR(U$2="",COUNT(الرصد!$C89:$Y89)=0),"",IFERROR(SUMIF(معالجة!$B$3:$X$3,U$2,الرصد!$C89:$Y89)/SUMIF(معالجة!$B$3:$X$3,U$2,معالجة!$B$4:$X$4),""))</f>
        <v/>
      </c>
      <c r="V89" s="51" t="str">
        <f>IF(OR(V$2="",COUNT(الرصد!$C89:$Y89)=0),"",IFERROR(SUMIF(معالجة!$B$3:$X$3,V$2,الرصد!$C89:$Y89)/SUMIF(معالجة!$B$3:$X$3,V$2,معالجة!$B$4:$X$4),""))</f>
        <v/>
      </c>
      <c r="W89" s="51" t="str">
        <f>IFERROR(C89/المهارات!$G$27,"")</f>
        <v/>
      </c>
    </row>
    <row r="90" spans="1:23" ht="14.25" customHeight="1">
      <c r="A90" s="46" t="s">
        <v>159</v>
      </c>
      <c r="B90" s="46" t="s">
        <v>21</v>
      </c>
      <c r="C90" s="52" t="str">
        <f>IF(COUNT(الرصد!C90:Y90)=0,"",SUM(الرصد!C90:Y90))</f>
        <v/>
      </c>
      <c r="D90" s="51" t="str">
        <f>IF(OR(D$2="",COUNT(الرصد!$C90:$Y90)=0),"",IFERROR(SUMIF(معالجة!$B$3:$X$3,D$2,الرصد!$C90:$Y90)/SUMIF(معالجة!$B$3:$X$3,D$2,معالجة!$B$4:$X$4),""))</f>
        <v/>
      </c>
      <c r="E90" s="51" t="str">
        <f>IF(OR(E$2="",COUNT(الرصد!$C90:$Y90)=0),"",IFERROR(SUMIF(معالجة!$B$3:$X$3,E$2,الرصد!$C90:$Y90)/SUMIF(معالجة!$B$3:$X$3,E$2,معالجة!$B$4:$X$4),""))</f>
        <v/>
      </c>
      <c r="F90" s="51" t="str">
        <f>IF(OR(F$2="",COUNT(الرصد!$C90:$Y90)=0),"",IFERROR(SUMIF(معالجة!$B$3:$X$3,F$2,الرصد!$C90:$Y90)/SUMIF(معالجة!$B$3:$X$3,F$2,معالجة!$B$4:$X$4),""))</f>
        <v/>
      </c>
      <c r="G90" s="51" t="str">
        <f>IF(OR(G$2="",COUNT(الرصد!$C90:$Y90)=0),"",IFERROR(SUMIF(معالجة!$B$3:$X$3,G$2,الرصد!$C90:$Y90)/SUMIF(معالجة!$B$3:$X$3,G$2,معالجة!$B$4:$X$4),""))</f>
        <v/>
      </c>
      <c r="H90" s="51" t="str">
        <f>IF(OR(H$2="",COUNT(الرصد!$C90:$Y90)=0),"",IFERROR(SUMIF(معالجة!$B$3:$X$3,H$2,الرصد!$C90:$Y90)/SUMIF(معالجة!$B$3:$X$3,H$2,معالجة!$B$4:$X$4),""))</f>
        <v/>
      </c>
      <c r="I90" s="51" t="str">
        <f>IF(OR(I$2="",COUNT(الرصد!$C90:$Y90)=0),"",IFERROR(SUMIF(معالجة!$B$3:$X$3,I$2,الرصد!$C90:$Y90)/SUMIF(معالجة!$B$3:$X$3,I$2,معالجة!$B$4:$X$4),""))</f>
        <v/>
      </c>
      <c r="J90" s="51" t="str">
        <f>IF(OR(J$2="",COUNT(الرصد!$C90:$Y90)=0),"",IFERROR(SUMIF(معالجة!$B$3:$X$3,J$2,الرصد!$C90:$Y90)/SUMIF(معالجة!$B$3:$X$3,J$2,معالجة!$B$4:$X$4),""))</f>
        <v/>
      </c>
      <c r="K90" s="51" t="str">
        <f>IF(OR(K$2="",COUNT(الرصد!$C90:$Y90)=0),"",IFERROR(SUMIF(معالجة!$B$3:$X$3,K$2,الرصد!$C90:$Y90)/SUMIF(معالجة!$B$3:$X$3,K$2,معالجة!$B$4:$X$4),""))</f>
        <v/>
      </c>
      <c r="L90" s="51" t="str">
        <f>IF(OR(L$2="",COUNT(الرصد!$C90:$Y90)=0),"",IFERROR(SUMIF(معالجة!$B$3:$X$3,L$2,الرصد!$C90:$Y90)/SUMIF(معالجة!$B$3:$X$3,L$2,معالجة!$B$4:$X$4),""))</f>
        <v/>
      </c>
      <c r="M90" s="51" t="str">
        <f>IF(OR(M$2="",COUNT(الرصد!$C90:$Y90)=0),"",IFERROR(SUMIF(معالجة!$B$3:$X$3,M$2,الرصد!$C90:$Y90)/SUMIF(معالجة!$B$3:$X$3,M$2,معالجة!$B$4:$X$4),""))</f>
        <v/>
      </c>
      <c r="N90" s="51" t="str">
        <f>IF(OR(N$2="",COUNT(الرصد!$C90:$Y90)=0),"",IFERROR(SUMIF(معالجة!$B$3:$X$3,N$2,الرصد!$C90:$Y90)/SUMIF(معالجة!$B$3:$X$3,N$2,معالجة!$B$4:$X$4),""))</f>
        <v/>
      </c>
      <c r="O90" s="51" t="str">
        <f>IF(OR(O$2="",COUNT(الرصد!$C90:$Y90)=0),"",IFERROR(SUMIF(معالجة!$B$3:$X$3,O$2,الرصد!$C90:$Y90)/SUMIF(معالجة!$B$3:$X$3,O$2,معالجة!$B$4:$X$4),""))</f>
        <v/>
      </c>
      <c r="P90" s="51" t="str">
        <f>IF(OR(P$2="",COUNT(الرصد!$C90:$Y90)=0),"",IFERROR(SUMIF(معالجة!$B$3:$X$3,P$2,الرصد!$C90:$Y90)/SUMIF(معالجة!$B$3:$X$3,P$2,معالجة!$B$4:$X$4),""))</f>
        <v/>
      </c>
      <c r="Q90" s="51" t="str">
        <f>IF(OR(Q$2="",COUNT(الرصد!$C90:$Y90)=0),"",IFERROR(SUMIF(معالجة!$B$3:$X$3,Q$2,الرصد!$C90:$Y90)/SUMIF(معالجة!$B$3:$X$3,Q$2,معالجة!$B$4:$X$4),""))</f>
        <v/>
      </c>
      <c r="R90" s="51" t="str">
        <f>IF(OR(R$2="",COUNT(الرصد!$C90:$Y90)=0),"",IFERROR(SUMIF(معالجة!$B$3:$X$3,R$2,الرصد!$C90:$Y90)/SUMIF(معالجة!$B$3:$X$3,R$2,معالجة!$B$4:$X$4),""))</f>
        <v/>
      </c>
      <c r="S90" s="51" t="str">
        <f>IF(OR(S$2="",COUNT(الرصد!$C90:$Y90)=0),"",IFERROR(SUMIF(معالجة!$B$3:$X$3,S$2,الرصد!$C90:$Y90)/SUMIF(معالجة!$B$3:$X$3,S$2,معالجة!$B$4:$X$4),""))</f>
        <v/>
      </c>
      <c r="T90" s="51" t="str">
        <f>IF(OR(T$2="",COUNT(الرصد!$C90:$Y90)=0),"",IFERROR(SUMIF(معالجة!$B$3:$X$3,T$2,الرصد!$C90:$Y90)/SUMIF(معالجة!$B$3:$X$3,T$2,معالجة!$B$4:$X$4),""))</f>
        <v/>
      </c>
      <c r="U90" s="51" t="str">
        <f>IF(OR(U$2="",COUNT(الرصد!$C90:$Y90)=0),"",IFERROR(SUMIF(معالجة!$B$3:$X$3,U$2,الرصد!$C90:$Y90)/SUMIF(معالجة!$B$3:$X$3,U$2,معالجة!$B$4:$X$4),""))</f>
        <v/>
      </c>
      <c r="V90" s="51" t="str">
        <f>IF(OR(V$2="",COUNT(الرصد!$C90:$Y90)=0),"",IFERROR(SUMIF(معالجة!$B$3:$X$3,V$2,الرصد!$C90:$Y90)/SUMIF(معالجة!$B$3:$X$3,V$2,معالجة!$B$4:$X$4),""))</f>
        <v/>
      </c>
      <c r="W90" s="51" t="str">
        <f>IFERROR(C90/المهارات!$G$27,"")</f>
        <v/>
      </c>
    </row>
    <row r="91" spans="1:23" ht="14.25" customHeight="1">
      <c r="A91" s="42" t="s">
        <v>160</v>
      </c>
      <c r="B91" s="42" t="s">
        <v>21</v>
      </c>
      <c r="C91" s="50" t="str">
        <f>IF(COUNT(الرصد!C91:Y91)=0,"",SUM(الرصد!C91:Y91))</f>
        <v/>
      </c>
      <c r="D91" s="51" t="str">
        <f>IF(OR(D$2="",COUNT(الرصد!$C91:$Y91)=0),"",IFERROR(SUMIF(معالجة!$B$3:$X$3,D$2,الرصد!$C91:$Y91)/SUMIF(معالجة!$B$3:$X$3,D$2,معالجة!$B$4:$X$4),""))</f>
        <v/>
      </c>
      <c r="E91" s="51" t="str">
        <f>IF(OR(E$2="",COUNT(الرصد!$C91:$Y91)=0),"",IFERROR(SUMIF(معالجة!$B$3:$X$3,E$2,الرصد!$C91:$Y91)/SUMIF(معالجة!$B$3:$X$3,E$2,معالجة!$B$4:$X$4),""))</f>
        <v/>
      </c>
      <c r="F91" s="51" t="str">
        <f>IF(OR(F$2="",COUNT(الرصد!$C91:$Y91)=0),"",IFERROR(SUMIF(معالجة!$B$3:$X$3,F$2,الرصد!$C91:$Y91)/SUMIF(معالجة!$B$3:$X$3,F$2,معالجة!$B$4:$X$4),""))</f>
        <v/>
      </c>
      <c r="G91" s="51" t="str">
        <f>IF(OR(G$2="",COUNT(الرصد!$C91:$Y91)=0),"",IFERROR(SUMIF(معالجة!$B$3:$X$3,G$2,الرصد!$C91:$Y91)/SUMIF(معالجة!$B$3:$X$3,G$2,معالجة!$B$4:$X$4),""))</f>
        <v/>
      </c>
      <c r="H91" s="51" t="str">
        <f>IF(OR(H$2="",COUNT(الرصد!$C91:$Y91)=0),"",IFERROR(SUMIF(معالجة!$B$3:$X$3,H$2,الرصد!$C91:$Y91)/SUMIF(معالجة!$B$3:$X$3,H$2,معالجة!$B$4:$X$4),""))</f>
        <v/>
      </c>
      <c r="I91" s="51" t="str">
        <f>IF(OR(I$2="",COUNT(الرصد!$C91:$Y91)=0),"",IFERROR(SUMIF(معالجة!$B$3:$X$3,I$2,الرصد!$C91:$Y91)/SUMIF(معالجة!$B$3:$X$3,I$2,معالجة!$B$4:$X$4),""))</f>
        <v/>
      </c>
      <c r="J91" s="51" t="str">
        <f>IF(OR(J$2="",COUNT(الرصد!$C91:$Y91)=0),"",IFERROR(SUMIF(معالجة!$B$3:$X$3,J$2,الرصد!$C91:$Y91)/SUMIF(معالجة!$B$3:$X$3,J$2,معالجة!$B$4:$X$4),""))</f>
        <v/>
      </c>
      <c r="K91" s="51" t="str">
        <f>IF(OR(K$2="",COUNT(الرصد!$C91:$Y91)=0),"",IFERROR(SUMIF(معالجة!$B$3:$X$3,K$2,الرصد!$C91:$Y91)/SUMIF(معالجة!$B$3:$X$3,K$2,معالجة!$B$4:$X$4),""))</f>
        <v/>
      </c>
      <c r="L91" s="51" t="str">
        <f>IF(OR(L$2="",COUNT(الرصد!$C91:$Y91)=0),"",IFERROR(SUMIF(معالجة!$B$3:$X$3,L$2,الرصد!$C91:$Y91)/SUMIF(معالجة!$B$3:$X$3,L$2,معالجة!$B$4:$X$4),""))</f>
        <v/>
      </c>
      <c r="M91" s="51" t="str">
        <f>IF(OR(M$2="",COUNT(الرصد!$C91:$Y91)=0),"",IFERROR(SUMIF(معالجة!$B$3:$X$3,M$2,الرصد!$C91:$Y91)/SUMIF(معالجة!$B$3:$X$3,M$2,معالجة!$B$4:$X$4),""))</f>
        <v/>
      </c>
      <c r="N91" s="51" t="str">
        <f>IF(OR(N$2="",COUNT(الرصد!$C91:$Y91)=0),"",IFERROR(SUMIF(معالجة!$B$3:$X$3,N$2,الرصد!$C91:$Y91)/SUMIF(معالجة!$B$3:$X$3,N$2,معالجة!$B$4:$X$4),""))</f>
        <v/>
      </c>
      <c r="O91" s="51" t="str">
        <f>IF(OR(O$2="",COUNT(الرصد!$C91:$Y91)=0),"",IFERROR(SUMIF(معالجة!$B$3:$X$3,O$2,الرصد!$C91:$Y91)/SUMIF(معالجة!$B$3:$X$3,O$2,معالجة!$B$4:$X$4),""))</f>
        <v/>
      </c>
      <c r="P91" s="51" t="str">
        <f>IF(OR(P$2="",COUNT(الرصد!$C91:$Y91)=0),"",IFERROR(SUMIF(معالجة!$B$3:$X$3,P$2,الرصد!$C91:$Y91)/SUMIF(معالجة!$B$3:$X$3,P$2,معالجة!$B$4:$X$4),""))</f>
        <v/>
      </c>
      <c r="Q91" s="51" t="str">
        <f>IF(OR(Q$2="",COUNT(الرصد!$C91:$Y91)=0),"",IFERROR(SUMIF(معالجة!$B$3:$X$3,Q$2,الرصد!$C91:$Y91)/SUMIF(معالجة!$B$3:$X$3,Q$2,معالجة!$B$4:$X$4),""))</f>
        <v/>
      </c>
      <c r="R91" s="51" t="str">
        <f>IF(OR(R$2="",COUNT(الرصد!$C91:$Y91)=0),"",IFERROR(SUMIF(معالجة!$B$3:$X$3,R$2,الرصد!$C91:$Y91)/SUMIF(معالجة!$B$3:$X$3,R$2,معالجة!$B$4:$X$4),""))</f>
        <v/>
      </c>
      <c r="S91" s="51" t="str">
        <f>IF(OR(S$2="",COUNT(الرصد!$C91:$Y91)=0),"",IFERROR(SUMIF(معالجة!$B$3:$X$3,S$2,الرصد!$C91:$Y91)/SUMIF(معالجة!$B$3:$X$3,S$2,معالجة!$B$4:$X$4),""))</f>
        <v/>
      </c>
      <c r="T91" s="51" t="str">
        <f>IF(OR(T$2="",COUNT(الرصد!$C91:$Y91)=0),"",IFERROR(SUMIF(معالجة!$B$3:$X$3,T$2,الرصد!$C91:$Y91)/SUMIF(معالجة!$B$3:$X$3,T$2,معالجة!$B$4:$X$4),""))</f>
        <v/>
      </c>
      <c r="U91" s="51" t="str">
        <f>IF(OR(U$2="",COUNT(الرصد!$C91:$Y91)=0),"",IFERROR(SUMIF(معالجة!$B$3:$X$3,U$2,الرصد!$C91:$Y91)/SUMIF(معالجة!$B$3:$X$3,U$2,معالجة!$B$4:$X$4),""))</f>
        <v/>
      </c>
      <c r="V91" s="51" t="str">
        <f>IF(OR(V$2="",COUNT(الرصد!$C91:$Y91)=0),"",IFERROR(SUMIF(معالجة!$B$3:$X$3,V$2,الرصد!$C91:$Y91)/SUMIF(معالجة!$B$3:$X$3,V$2,معالجة!$B$4:$X$4),""))</f>
        <v/>
      </c>
      <c r="W91" s="51" t="str">
        <f>IFERROR(C91/المهارات!$G$27,"")</f>
        <v/>
      </c>
    </row>
    <row r="92" spans="1:23" ht="14.25" customHeight="1">
      <c r="A92" s="46" t="s">
        <v>161</v>
      </c>
      <c r="B92" s="46" t="s">
        <v>21</v>
      </c>
      <c r="C92" s="52" t="str">
        <f>IF(COUNT(الرصد!C92:Y92)=0,"",SUM(الرصد!C92:Y92))</f>
        <v/>
      </c>
      <c r="D92" s="51" t="str">
        <f>IF(OR(D$2="",COUNT(الرصد!$C92:$Y92)=0),"",IFERROR(SUMIF(معالجة!$B$3:$X$3,D$2,الرصد!$C92:$Y92)/SUMIF(معالجة!$B$3:$X$3,D$2,معالجة!$B$4:$X$4),""))</f>
        <v/>
      </c>
      <c r="E92" s="51" t="str">
        <f>IF(OR(E$2="",COUNT(الرصد!$C92:$Y92)=0),"",IFERROR(SUMIF(معالجة!$B$3:$X$3,E$2,الرصد!$C92:$Y92)/SUMIF(معالجة!$B$3:$X$3,E$2,معالجة!$B$4:$X$4),""))</f>
        <v/>
      </c>
      <c r="F92" s="51" t="str">
        <f>IF(OR(F$2="",COUNT(الرصد!$C92:$Y92)=0),"",IFERROR(SUMIF(معالجة!$B$3:$X$3,F$2,الرصد!$C92:$Y92)/SUMIF(معالجة!$B$3:$X$3,F$2,معالجة!$B$4:$X$4),""))</f>
        <v/>
      </c>
      <c r="G92" s="51" t="str">
        <f>IF(OR(G$2="",COUNT(الرصد!$C92:$Y92)=0),"",IFERROR(SUMIF(معالجة!$B$3:$X$3,G$2,الرصد!$C92:$Y92)/SUMIF(معالجة!$B$3:$X$3,G$2,معالجة!$B$4:$X$4),""))</f>
        <v/>
      </c>
      <c r="H92" s="51" t="str">
        <f>IF(OR(H$2="",COUNT(الرصد!$C92:$Y92)=0),"",IFERROR(SUMIF(معالجة!$B$3:$X$3,H$2,الرصد!$C92:$Y92)/SUMIF(معالجة!$B$3:$X$3,H$2,معالجة!$B$4:$X$4),""))</f>
        <v/>
      </c>
      <c r="I92" s="51" t="str">
        <f>IF(OR(I$2="",COUNT(الرصد!$C92:$Y92)=0),"",IFERROR(SUMIF(معالجة!$B$3:$X$3,I$2,الرصد!$C92:$Y92)/SUMIF(معالجة!$B$3:$X$3,I$2,معالجة!$B$4:$X$4),""))</f>
        <v/>
      </c>
      <c r="J92" s="51" t="str">
        <f>IF(OR(J$2="",COUNT(الرصد!$C92:$Y92)=0),"",IFERROR(SUMIF(معالجة!$B$3:$X$3,J$2,الرصد!$C92:$Y92)/SUMIF(معالجة!$B$3:$X$3,J$2,معالجة!$B$4:$X$4),""))</f>
        <v/>
      </c>
      <c r="K92" s="51" t="str">
        <f>IF(OR(K$2="",COUNT(الرصد!$C92:$Y92)=0),"",IFERROR(SUMIF(معالجة!$B$3:$X$3,K$2,الرصد!$C92:$Y92)/SUMIF(معالجة!$B$3:$X$3,K$2,معالجة!$B$4:$X$4),""))</f>
        <v/>
      </c>
      <c r="L92" s="51" t="str">
        <f>IF(OR(L$2="",COUNT(الرصد!$C92:$Y92)=0),"",IFERROR(SUMIF(معالجة!$B$3:$X$3,L$2,الرصد!$C92:$Y92)/SUMIF(معالجة!$B$3:$X$3,L$2,معالجة!$B$4:$X$4),""))</f>
        <v/>
      </c>
      <c r="M92" s="51" t="str">
        <f>IF(OR(M$2="",COUNT(الرصد!$C92:$Y92)=0),"",IFERROR(SUMIF(معالجة!$B$3:$X$3,M$2,الرصد!$C92:$Y92)/SUMIF(معالجة!$B$3:$X$3,M$2,معالجة!$B$4:$X$4),""))</f>
        <v/>
      </c>
      <c r="N92" s="51" t="str">
        <f>IF(OR(N$2="",COUNT(الرصد!$C92:$Y92)=0),"",IFERROR(SUMIF(معالجة!$B$3:$X$3,N$2,الرصد!$C92:$Y92)/SUMIF(معالجة!$B$3:$X$3,N$2,معالجة!$B$4:$X$4),""))</f>
        <v/>
      </c>
      <c r="O92" s="51" t="str">
        <f>IF(OR(O$2="",COUNT(الرصد!$C92:$Y92)=0),"",IFERROR(SUMIF(معالجة!$B$3:$X$3,O$2,الرصد!$C92:$Y92)/SUMIF(معالجة!$B$3:$X$3,O$2,معالجة!$B$4:$X$4),""))</f>
        <v/>
      </c>
      <c r="P92" s="51" t="str">
        <f>IF(OR(P$2="",COUNT(الرصد!$C92:$Y92)=0),"",IFERROR(SUMIF(معالجة!$B$3:$X$3,P$2,الرصد!$C92:$Y92)/SUMIF(معالجة!$B$3:$X$3,P$2,معالجة!$B$4:$X$4),""))</f>
        <v/>
      </c>
      <c r="Q92" s="51" t="str">
        <f>IF(OR(Q$2="",COUNT(الرصد!$C92:$Y92)=0),"",IFERROR(SUMIF(معالجة!$B$3:$X$3,Q$2,الرصد!$C92:$Y92)/SUMIF(معالجة!$B$3:$X$3,Q$2,معالجة!$B$4:$X$4),""))</f>
        <v/>
      </c>
      <c r="R92" s="51" t="str">
        <f>IF(OR(R$2="",COUNT(الرصد!$C92:$Y92)=0),"",IFERROR(SUMIF(معالجة!$B$3:$X$3,R$2,الرصد!$C92:$Y92)/SUMIF(معالجة!$B$3:$X$3,R$2,معالجة!$B$4:$X$4),""))</f>
        <v/>
      </c>
      <c r="S92" s="51" t="str">
        <f>IF(OR(S$2="",COUNT(الرصد!$C92:$Y92)=0),"",IFERROR(SUMIF(معالجة!$B$3:$X$3,S$2,الرصد!$C92:$Y92)/SUMIF(معالجة!$B$3:$X$3,S$2,معالجة!$B$4:$X$4),""))</f>
        <v/>
      </c>
      <c r="T92" s="51" t="str">
        <f>IF(OR(T$2="",COUNT(الرصد!$C92:$Y92)=0),"",IFERROR(SUMIF(معالجة!$B$3:$X$3,T$2,الرصد!$C92:$Y92)/SUMIF(معالجة!$B$3:$X$3,T$2,معالجة!$B$4:$X$4),""))</f>
        <v/>
      </c>
      <c r="U92" s="51" t="str">
        <f>IF(OR(U$2="",COUNT(الرصد!$C92:$Y92)=0),"",IFERROR(SUMIF(معالجة!$B$3:$X$3,U$2,الرصد!$C92:$Y92)/SUMIF(معالجة!$B$3:$X$3,U$2,معالجة!$B$4:$X$4),""))</f>
        <v/>
      </c>
      <c r="V92" s="51" t="str">
        <f>IF(OR(V$2="",COUNT(الرصد!$C92:$Y92)=0),"",IFERROR(SUMIF(معالجة!$B$3:$X$3,V$2,الرصد!$C92:$Y92)/SUMIF(معالجة!$B$3:$X$3,V$2,معالجة!$B$4:$X$4),""))</f>
        <v/>
      </c>
      <c r="W92" s="51" t="str">
        <f>IFERROR(C92/المهارات!$G$27,"")</f>
        <v/>
      </c>
    </row>
    <row r="93" spans="1:23" ht="14.25" customHeight="1">
      <c r="A93" s="42" t="s">
        <v>162</v>
      </c>
      <c r="B93" s="42" t="s">
        <v>21</v>
      </c>
      <c r="C93" s="50" t="str">
        <f>IF(COUNT(الرصد!C93:Y93)=0,"",SUM(الرصد!C93:Y93))</f>
        <v/>
      </c>
      <c r="D93" s="51" t="str">
        <f>IF(OR(D$2="",COUNT(الرصد!$C93:$Y93)=0),"",IFERROR(SUMIF(معالجة!$B$3:$X$3,D$2,الرصد!$C93:$Y93)/SUMIF(معالجة!$B$3:$X$3,D$2,معالجة!$B$4:$X$4),""))</f>
        <v/>
      </c>
      <c r="E93" s="51" t="str">
        <f>IF(OR(E$2="",COUNT(الرصد!$C93:$Y93)=0),"",IFERROR(SUMIF(معالجة!$B$3:$X$3,E$2,الرصد!$C93:$Y93)/SUMIF(معالجة!$B$3:$X$3,E$2,معالجة!$B$4:$X$4),""))</f>
        <v/>
      </c>
      <c r="F93" s="51" t="str">
        <f>IF(OR(F$2="",COUNT(الرصد!$C93:$Y93)=0),"",IFERROR(SUMIF(معالجة!$B$3:$X$3,F$2,الرصد!$C93:$Y93)/SUMIF(معالجة!$B$3:$X$3,F$2,معالجة!$B$4:$X$4),""))</f>
        <v/>
      </c>
      <c r="G93" s="51" t="str">
        <f>IF(OR(G$2="",COUNT(الرصد!$C93:$Y93)=0),"",IFERROR(SUMIF(معالجة!$B$3:$X$3,G$2,الرصد!$C93:$Y93)/SUMIF(معالجة!$B$3:$X$3,G$2,معالجة!$B$4:$X$4),""))</f>
        <v/>
      </c>
      <c r="H93" s="51" t="str">
        <f>IF(OR(H$2="",COUNT(الرصد!$C93:$Y93)=0),"",IFERROR(SUMIF(معالجة!$B$3:$X$3,H$2,الرصد!$C93:$Y93)/SUMIF(معالجة!$B$3:$X$3,H$2,معالجة!$B$4:$X$4),""))</f>
        <v/>
      </c>
      <c r="I93" s="51" t="str">
        <f>IF(OR(I$2="",COUNT(الرصد!$C93:$Y93)=0),"",IFERROR(SUMIF(معالجة!$B$3:$X$3,I$2,الرصد!$C93:$Y93)/SUMIF(معالجة!$B$3:$X$3,I$2,معالجة!$B$4:$X$4),""))</f>
        <v/>
      </c>
      <c r="J93" s="51" t="str">
        <f>IF(OR(J$2="",COUNT(الرصد!$C93:$Y93)=0),"",IFERROR(SUMIF(معالجة!$B$3:$X$3,J$2,الرصد!$C93:$Y93)/SUMIF(معالجة!$B$3:$X$3,J$2,معالجة!$B$4:$X$4),""))</f>
        <v/>
      </c>
      <c r="K93" s="51" t="str">
        <f>IF(OR(K$2="",COUNT(الرصد!$C93:$Y93)=0),"",IFERROR(SUMIF(معالجة!$B$3:$X$3,K$2,الرصد!$C93:$Y93)/SUMIF(معالجة!$B$3:$X$3,K$2,معالجة!$B$4:$X$4),""))</f>
        <v/>
      </c>
      <c r="L93" s="51" t="str">
        <f>IF(OR(L$2="",COUNT(الرصد!$C93:$Y93)=0),"",IFERROR(SUMIF(معالجة!$B$3:$X$3,L$2,الرصد!$C93:$Y93)/SUMIF(معالجة!$B$3:$X$3,L$2,معالجة!$B$4:$X$4),""))</f>
        <v/>
      </c>
      <c r="M93" s="51" t="str">
        <f>IF(OR(M$2="",COUNT(الرصد!$C93:$Y93)=0),"",IFERROR(SUMIF(معالجة!$B$3:$X$3,M$2,الرصد!$C93:$Y93)/SUMIF(معالجة!$B$3:$X$3,M$2,معالجة!$B$4:$X$4),""))</f>
        <v/>
      </c>
      <c r="N93" s="51" t="str">
        <f>IF(OR(N$2="",COUNT(الرصد!$C93:$Y93)=0),"",IFERROR(SUMIF(معالجة!$B$3:$X$3,N$2,الرصد!$C93:$Y93)/SUMIF(معالجة!$B$3:$X$3,N$2,معالجة!$B$4:$X$4),""))</f>
        <v/>
      </c>
      <c r="O93" s="51" t="str">
        <f>IF(OR(O$2="",COUNT(الرصد!$C93:$Y93)=0),"",IFERROR(SUMIF(معالجة!$B$3:$X$3,O$2,الرصد!$C93:$Y93)/SUMIF(معالجة!$B$3:$X$3,O$2,معالجة!$B$4:$X$4),""))</f>
        <v/>
      </c>
      <c r="P93" s="51" t="str">
        <f>IF(OR(P$2="",COUNT(الرصد!$C93:$Y93)=0),"",IFERROR(SUMIF(معالجة!$B$3:$X$3,P$2,الرصد!$C93:$Y93)/SUMIF(معالجة!$B$3:$X$3,P$2,معالجة!$B$4:$X$4),""))</f>
        <v/>
      </c>
      <c r="Q93" s="51" t="str">
        <f>IF(OR(Q$2="",COUNT(الرصد!$C93:$Y93)=0),"",IFERROR(SUMIF(معالجة!$B$3:$X$3,Q$2,الرصد!$C93:$Y93)/SUMIF(معالجة!$B$3:$X$3,Q$2,معالجة!$B$4:$X$4),""))</f>
        <v/>
      </c>
      <c r="R93" s="51" t="str">
        <f>IF(OR(R$2="",COUNT(الرصد!$C93:$Y93)=0),"",IFERROR(SUMIF(معالجة!$B$3:$X$3,R$2,الرصد!$C93:$Y93)/SUMIF(معالجة!$B$3:$X$3,R$2,معالجة!$B$4:$X$4),""))</f>
        <v/>
      </c>
      <c r="S93" s="51" t="str">
        <f>IF(OR(S$2="",COUNT(الرصد!$C93:$Y93)=0),"",IFERROR(SUMIF(معالجة!$B$3:$X$3,S$2,الرصد!$C93:$Y93)/SUMIF(معالجة!$B$3:$X$3,S$2,معالجة!$B$4:$X$4),""))</f>
        <v/>
      </c>
      <c r="T93" s="51" t="str">
        <f>IF(OR(T$2="",COUNT(الرصد!$C93:$Y93)=0),"",IFERROR(SUMIF(معالجة!$B$3:$X$3,T$2,الرصد!$C93:$Y93)/SUMIF(معالجة!$B$3:$X$3,T$2,معالجة!$B$4:$X$4),""))</f>
        <v/>
      </c>
      <c r="U93" s="51" t="str">
        <f>IF(OR(U$2="",COUNT(الرصد!$C93:$Y93)=0),"",IFERROR(SUMIF(معالجة!$B$3:$X$3,U$2,الرصد!$C93:$Y93)/SUMIF(معالجة!$B$3:$X$3,U$2,معالجة!$B$4:$X$4),""))</f>
        <v/>
      </c>
      <c r="V93" s="51" t="str">
        <f>IF(OR(V$2="",COUNT(الرصد!$C93:$Y93)=0),"",IFERROR(SUMIF(معالجة!$B$3:$X$3,V$2,الرصد!$C93:$Y93)/SUMIF(معالجة!$B$3:$X$3,V$2,معالجة!$B$4:$X$4),""))</f>
        <v/>
      </c>
      <c r="W93" s="51" t="str">
        <f>IFERROR(C93/المهارات!$G$27,"")</f>
        <v/>
      </c>
    </row>
    <row r="94" spans="1:23" ht="14.25" customHeight="1">
      <c r="A94" s="46" t="s">
        <v>163</v>
      </c>
      <c r="B94" s="46" t="s">
        <v>21</v>
      </c>
      <c r="C94" s="52" t="str">
        <f>IF(COUNT(الرصد!C94:Y94)=0,"",SUM(الرصد!C94:Y94))</f>
        <v/>
      </c>
      <c r="D94" s="51" t="str">
        <f>IF(OR(D$2="",COUNT(الرصد!$C94:$Y94)=0),"",IFERROR(SUMIF(معالجة!$B$3:$X$3,D$2,الرصد!$C94:$Y94)/SUMIF(معالجة!$B$3:$X$3,D$2,معالجة!$B$4:$X$4),""))</f>
        <v/>
      </c>
      <c r="E94" s="51" t="str">
        <f>IF(OR(E$2="",COUNT(الرصد!$C94:$Y94)=0),"",IFERROR(SUMIF(معالجة!$B$3:$X$3,E$2,الرصد!$C94:$Y94)/SUMIF(معالجة!$B$3:$X$3,E$2,معالجة!$B$4:$X$4),""))</f>
        <v/>
      </c>
      <c r="F94" s="51" t="str">
        <f>IF(OR(F$2="",COUNT(الرصد!$C94:$Y94)=0),"",IFERROR(SUMIF(معالجة!$B$3:$X$3,F$2,الرصد!$C94:$Y94)/SUMIF(معالجة!$B$3:$X$3,F$2,معالجة!$B$4:$X$4),""))</f>
        <v/>
      </c>
      <c r="G94" s="51" t="str">
        <f>IF(OR(G$2="",COUNT(الرصد!$C94:$Y94)=0),"",IFERROR(SUMIF(معالجة!$B$3:$X$3,G$2,الرصد!$C94:$Y94)/SUMIF(معالجة!$B$3:$X$3,G$2,معالجة!$B$4:$X$4),""))</f>
        <v/>
      </c>
      <c r="H94" s="51" t="str">
        <f>IF(OR(H$2="",COUNT(الرصد!$C94:$Y94)=0),"",IFERROR(SUMIF(معالجة!$B$3:$X$3,H$2,الرصد!$C94:$Y94)/SUMIF(معالجة!$B$3:$X$3,H$2,معالجة!$B$4:$X$4),""))</f>
        <v/>
      </c>
      <c r="I94" s="51" t="str">
        <f>IF(OR(I$2="",COUNT(الرصد!$C94:$Y94)=0),"",IFERROR(SUMIF(معالجة!$B$3:$X$3,I$2,الرصد!$C94:$Y94)/SUMIF(معالجة!$B$3:$X$3,I$2,معالجة!$B$4:$X$4),""))</f>
        <v/>
      </c>
      <c r="J94" s="51" t="str">
        <f>IF(OR(J$2="",COUNT(الرصد!$C94:$Y94)=0),"",IFERROR(SUMIF(معالجة!$B$3:$X$3,J$2,الرصد!$C94:$Y94)/SUMIF(معالجة!$B$3:$X$3,J$2,معالجة!$B$4:$X$4),""))</f>
        <v/>
      </c>
      <c r="K94" s="51" t="str">
        <f>IF(OR(K$2="",COUNT(الرصد!$C94:$Y94)=0),"",IFERROR(SUMIF(معالجة!$B$3:$X$3,K$2,الرصد!$C94:$Y94)/SUMIF(معالجة!$B$3:$X$3,K$2,معالجة!$B$4:$X$4),""))</f>
        <v/>
      </c>
      <c r="L94" s="51" t="str">
        <f>IF(OR(L$2="",COUNT(الرصد!$C94:$Y94)=0),"",IFERROR(SUMIF(معالجة!$B$3:$X$3,L$2,الرصد!$C94:$Y94)/SUMIF(معالجة!$B$3:$X$3,L$2,معالجة!$B$4:$X$4),""))</f>
        <v/>
      </c>
      <c r="M94" s="51" t="str">
        <f>IF(OR(M$2="",COUNT(الرصد!$C94:$Y94)=0),"",IFERROR(SUMIF(معالجة!$B$3:$X$3,M$2,الرصد!$C94:$Y94)/SUMIF(معالجة!$B$3:$X$3,M$2,معالجة!$B$4:$X$4),""))</f>
        <v/>
      </c>
      <c r="N94" s="51" t="str">
        <f>IF(OR(N$2="",COUNT(الرصد!$C94:$Y94)=0),"",IFERROR(SUMIF(معالجة!$B$3:$X$3,N$2,الرصد!$C94:$Y94)/SUMIF(معالجة!$B$3:$X$3,N$2,معالجة!$B$4:$X$4),""))</f>
        <v/>
      </c>
      <c r="O94" s="51" t="str">
        <f>IF(OR(O$2="",COUNT(الرصد!$C94:$Y94)=0),"",IFERROR(SUMIF(معالجة!$B$3:$X$3,O$2,الرصد!$C94:$Y94)/SUMIF(معالجة!$B$3:$X$3,O$2,معالجة!$B$4:$X$4),""))</f>
        <v/>
      </c>
      <c r="P94" s="51" t="str">
        <f>IF(OR(P$2="",COUNT(الرصد!$C94:$Y94)=0),"",IFERROR(SUMIF(معالجة!$B$3:$X$3,P$2,الرصد!$C94:$Y94)/SUMIF(معالجة!$B$3:$X$3,P$2,معالجة!$B$4:$X$4),""))</f>
        <v/>
      </c>
      <c r="Q94" s="51" t="str">
        <f>IF(OR(Q$2="",COUNT(الرصد!$C94:$Y94)=0),"",IFERROR(SUMIF(معالجة!$B$3:$X$3,Q$2,الرصد!$C94:$Y94)/SUMIF(معالجة!$B$3:$X$3,Q$2,معالجة!$B$4:$X$4),""))</f>
        <v/>
      </c>
      <c r="R94" s="51" t="str">
        <f>IF(OR(R$2="",COUNT(الرصد!$C94:$Y94)=0),"",IFERROR(SUMIF(معالجة!$B$3:$X$3,R$2,الرصد!$C94:$Y94)/SUMIF(معالجة!$B$3:$X$3,R$2,معالجة!$B$4:$X$4),""))</f>
        <v/>
      </c>
      <c r="S94" s="51" t="str">
        <f>IF(OR(S$2="",COUNT(الرصد!$C94:$Y94)=0),"",IFERROR(SUMIF(معالجة!$B$3:$X$3,S$2,الرصد!$C94:$Y94)/SUMIF(معالجة!$B$3:$X$3,S$2,معالجة!$B$4:$X$4),""))</f>
        <v/>
      </c>
      <c r="T94" s="51" t="str">
        <f>IF(OR(T$2="",COUNT(الرصد!$C94:$Y94)=0),"",IFERROR(SUMIF(معالجة!$B$3:$X$3,T$2,الرصد!$C94:$Y94)/SUMIF(معالجة!$B$3:$X$3,T$2,معالجة!$B$4:$X$4),""))</f>
        <v/>
      </c>
      <c r="U94" s="51" t="str">
        <f>IF(OR(U$2="",COUNT(الرصد!$C94:$Y94)=0),"",IFERROR(SUMIF(معالجة!$B$3:$X$3,U$2,الرصد!$C94:$Y94)/SUMIF(معالجة!$B$3:$X$3,U$2,معالجة!$B$4:$X$4),""))</f>
        <v/>
      </c>
      <c r="V94" s="51" t="str">
        <f>IF(OR(V$2="",COUNT(الرصد!$C94:$Y94)=0),"",IFERROR(SUMIF(معالجة!$B$3:$X$3,V$2,الرصد!$C94:$Y94)/SUMIF(معالجة!$B$3:$X$3,V$2,معالجة!$B$4:$X$4),""))</f>
        <v/>
      </c>
      <c r="W94" s="51" t="str">
        <f>IFERROR(C94/المهارات!$G$27,"")</f>
        <v/>
      </c>
    </row>
    <row r="95" spans="1:23" ht="14.25" customHeight="1">
      <c r="A95" s="42" t="s">
        <v>164</v>
      </c>
      <c r="B95" s="42" t="s">
        <v>21</v>
      </c>
      <c r="C95" s="50" t="str">
        <f>IF(COUNT(الرصد!C95:Y95)=0,"",SUM(الرصد!C95:Y95))</f>
        <v/>
      </c>
      <c r="D95" s="51" t="str">
        <f>IF(OR(D$2="",COUNT(الرصد!$C95:$Y95)=0),"",IFERROR(SUMIF(معالجة!$B$3:$X$3,D$2,الرصد!$C95:$Y95)/SUMIF(معالجة!$B$3:$X$3,D$2,معالجة!$B$4:$X$4),""))</f>
        <v/>
      </c>
      <c r="E95" s="51" t="str">
        <f>IF(OR(E$2="",COUNT(الرصد!$C95:$Y95)=0),"",IFERROR(SUMIF(معالجة!$B$3:$X$3,E$2,الرصد!$C95:$Y95)/SUMIF(معالجة!$B$3:$X$3,E$2,معالجة!$B$4:$X$4),""))</f>
        <v/>
      </c>
      <c r="F95" s="51" t="str">
        <f>IF(OR(F$2="",COUNT(الرصد!$C95:$Y95)=0),"",IFERROR(SUMIF(معالجة!$B$3:$X$3,F$2,الرصد!$C95:$Y95)/SUMIF(معالجة!$B$3:$X$3,F$2,معالجة!$B$4:$X$4),""))</f>
        <v/>
      </c>
      <c r="G95" s="51" t="str">
        <f>IF(OR(G$2="",COUNT(الرصد!$C95:$Y95)=0),"",IFERROR(SUMIF(معالجة!$B$3:$X$3,G$2,الرصد!$C95:$Y95)/SUMIF(معالجة!$B$3:$X$3,G$2,معالجة!$B$4:$X$4),""))</f>
        <v/>
      </c>
      <c r="H95" s="51" t="str">
        <f>IF(OR(H$2="",COUNT(الرصد!$C95:$Y95)=0),"",IFERROR(SUMIF(معالجة!$B$3:$X$3,H$2,الرصد!$C95:$Y95)/SUMIF(معالجة!$B$3:$X$3,H$2,معالجة!$B$4:$X$4),""))</f>
        <v/>
      </c>
      <c r="I95" s="51" t="str">
        <f>IF(OR(I$2="",COUNT(الرصد!$C95:$Y95)=0),"",IFERROR(SUMIF(معالجة!$B$3:$X$3,I$2,الرصد!$C95:$Y95)/SUMIF(معالجة!$B$3:$X$3,I$2,معالجة!$B$4:$X$4),""))</f>
        <v/>
      </c>
      <c r="J95" s="51" t="str">
        <f>IF(OR(J$2="",COUNT(الرصد!$C95:$Y95)=0),"",IFERROR(SUMIF(معالجة!$B$3:$X$3,J$2,الرصد!$C95:$Y95)/SUMIF(معالجة!$B$3:$X$3,J$2,معالجة!$B$4:$X$4),""))</f>
        <v/>
      </c>
      <c r="K95" s="51" t="str">
        <f>IF(OR(K$2="",COUNT(الرصد!$C95:$Y95)=0),"",IFERROR(SUMIF(معالجة!$B$3:$X$3,K$2,الرصد!$C95:$Y95)/SUMIF(معالجة!$B$3:$X$3,K$2,معالجة!$B$4:$X$4),""))</f>
        <v/>
      </c>
      <c r="L95" s="51" t="str">
        <f>IF(OR(L$2="",COUNT(الرصد!$C95:$Y95)=0),"",IFERROR(SUMIF(معالجة!$B$3:$X$3,L$2,الرصد!$C95:$Y95)/SUMIF(معالجة!$B$3:$X$3,L$2,معالجة!$B$4:$X$4),""))</f>
        <v/>
      </c>
      <c r="M95" s="51" t="str">
        <f>IF(OR(M$2="",COUNT(الرصد!$C95:$Y95)=0),"",IFERROR(SUMIF(معالجة!$B$3:$X$3,M$2,الرصد!$C95:$Y95)/SUMIF(معالجة!$B$3:$X$3,M$2,معالجة!$B$4:$X$4),""))</f>
        <v/>
      </c>
      <c r="N95" s="51" t="str">
        <f>IF(OR(N$2="",COUNT(الرصد!$C95:$Y95)=0),"",IFERROR(SUMIF(معالجة!$B$3:$X$3,N$2,الرصد!$C95:$Y95)/SUMIF(معالجة!$B$3:$X$3,N$2,معالجة!$B$4:$X$4),""))</f>
        <v/>
      </c>
      <c r="O95" s="51" t="str">
        <f>IF(OR(O$2="",COUNT(الرصد!$C95:$Y95)=0),"",IFERROR(SUMIF(معالجة!$B$3:$X$3,O$2,الرصد!$C95:$Y95)/SUMIF(معالجة!$B$3:$X$3,O$2,معالجة!$B$4:$X$4),""))</f>
        <v/>
      </c>
      <c r="P95" s="51" t="str">
        <f>IF(OR(P$2="",COUNT(الرصد!$C95:$Y95)=0),"",IFERROR(SUMIF(معالجة!$B$3:$X$3,P$2,الرصد!$C95:$Y95)/SUMIF(معالجة!$B$3:$X$3,P$2,معالجة!$B$4:$X$4),""))</f>
        <v/>
      </c>
      <c r="Q95" s="51" t="str">
        <f>IF(OR(Q$2="",COUNT(الرصد!$C95:$Y95)=0),"",IFERROR(SUMIF(معالجة!$B$3:$X$3,Q$2,الرصد!$C95:$Y95)/SUMIF(معالجة!$B$3:$X$3,Q$2,معالجة!$B$4:$X$4),""))</f>
        <v/>
      </c>
      <c r="R95" s="51" t="str">
        <f>IF(OR(R$2="",COUNT(الرصد!$C95:$Y95)=0),"",IFERROR(SUMIF(معالجة!$B$3:$X$3,R$2,الرصد!$C95:$Y95)/SUMIF(معالجة!$B$3:$X$3,R$2,معالجة!$B$4:$X$4),""))</f>
        <v/>
      </c>
      <c r="S95" s="51" t="str">
        <f>IF(OR(S$2="",COUNT(الرصد!$C95:$Y95)=0),"",IFERROR(SUMIF(معالجة!$B$3:$X$3,S$2,الرصد!$C95:$Y95)/SUMIF(معالجة!$B$3:$X$3,S$2,معالجة!$B$4:$X$4),""))</f>
        <v/>
      </c>
      <c r="T95" s="51" t="str">
        <f>IF(OR(T$2="",COUNT(الرصد!$C95:$Y95)=0),"",IFERROR(SUMIF(معالجة!$B$3:$X$3,T$2,الرصد!$C95:$Y95)/SUMIF(معالجة!$B$3:$X$3,T$2,معالجة!$B$4:$X$4),""))</f>
        <v/>
      </c>
      <c r="U95" s="51" t="str">
        <f>IF(OR(U$2="",COUNT(الرصد!$C95:$Y95)=0),"",IFERROR(SUMIF(معالجة!$B$3:$X$3,U$2,الرصد!$C95:$Y95)/SUMIF(معالجة!$B$3:$X$3,U$2,معالجة!$B$4:$X$4),""))</f>
        <v/>
      </c>
      <c r="V95" s="51" t="str">
        <f>IF(OR(V$2="",COUNT(الرصد!$C95:$Y95)=0),"",IFERROR(SUMIF(معالجة!$B$3:$X$3,V$2,الرصد!$C95:$Y95)/SUMIF(معالجة!$B$3:$X$3,V$2,معالجة!$B$4:$X$4),""))</f>
        <v/>
      </c>
      <c r="W95" s="51" t="str">
        <f>IFERROR(C95/المهارات!$G$27,"")</f>
        <v/>
      </c>
    </row>
    <row r="96" spans="1:23" ht="14.25" customHeight="1">
      <c r="A96" s="46" t="s">
        <v>165</v>
      </c>
      <c r="B96" s="46" t="s">
        <v>21</v>
      </c>
      <c r="C96" s="52" t="str">
        <f>IF(COUNT(الرصد!C96:Y96)=0,"",SUM(الرصد!C96:Y96))</f>
        <v/>
      </c>
      <c r="D96" s="51" t="str">
        <f>IF(OR(D$2="",COUNT(الرصد!$C96:$Y96)=0),"",IFERROR(SUMIF(معالجة!$B$3:$X$3,D$2,الرصد!$C96:$Y96)/SUMIF(معالجة!$B$3:$X$3,D$2,معالجة!$B$4:$X$4),""))</f>
        <v/>
      </c>
      <c r="E96" s="51" t="str">
        <f>IF(OR(E$2="",COUNT(الرصد!$C96:$Y96)=0),"",IFERROR(SUMIF(معالجة!$B$3:$X$3,E$2,الرصد!$C96:$Y96)/SUMIF(معالجة!$B$3:$X$3,E$2,معالجة!$B$4:$X$4),""))</f>
        <v/>
      </c>
      <c r="F96" s="51" t="str">
        <f>IF(OR(F$2="",COUNT(الرصد!$C96:$Y96)=0),"",IFERROR(SUMIF(معالجة!$B$3:$X$3,F$2,الرصد!$C96:$Y96)/SUMIF(معالجة!$B$3:$X$3,F$2,معالجة!$B$4:$X$4),""))</f>
        <v/>
      </c>
      <c r="G96" s="51" t="str">
        <f>IF(OR(G$2="",COUNT(الرصد!$C96:$Y96)=0),"",IFERROR(SUMIF(معالجة!$B$3:$X$3,G$2,الرصد!$C96:$Y96)/SUMIF(معالجة!$B$3:$X$3,G$2,معالجة!$B$4:$X$4),""))</f>
        <v/>
      </c>
      <c r="H96" s="51" t="str">
        <f>IF(OR(H$2="",COUNT(الرصد!$C96:$Y96)=0),"",IFERROR(SUMIF(معالجة!$B$3:$X$3,H$2,الرصد!$C96:$Y96)/SUMIF(معالجة!$B$3:$X$3,H$2,معالجة!$B$4:$X$4),""))</f>
        <v/>
      </c>
      <c r="I96" s="51" t="str">
        <f>IF(OR(I$2="",COUNT(الرصد!$C96:$Y96)=0),"",IFERROR(SUMIF(معالجة!$B$3:$X$3,I$2,الرصد!$C96:$Y96)/SUMIF(معالجة!$B$3:$X$3,I$2,معالجة!$B$4:$X$4),""))</f>
        <v/>
      </c>
      <c r="J96" s="51" t="str">
        <f>IF(OR(J$2="",COUNT(الرصد!$C96:$Y96)=0),"",IFERROR(SUMIF(معالجة!$B$3:$X$3,J$2,الرصد!$C96:$Y96)/SUMIF(معالجة!$B$3:$X$3,J$2,معالجة!$B$4:$X$4),""))</f>
        <v/>
      </c>
      <c r="K96" s="51" t="str">
        <f>IF(OR(K$2="",COUNT(الرصد!$C96:$Y96)=0),"",IFERROR(SUMIF(معالجة!$B$3:$X$3,K$2,الرصد!$C96:$Y96)/SUMIF(معالجة!$B$3:$X$3,K$2,معالجة!$B$4:$X$4),""))</f>
        <v/>
      </c>
      <c r="L96" s="51" t="str">
        <f>IF(OR(L$2="",COUNT(الرصد!$C96:$Y96)=0),"",IFERROR(SUMIF(معالجة!$B$3:$X$3,L$2,الرصد!$C96:$Y96)/SUMIF(معالجة!$B$3:$X$3,L$2,معالجة!$B$4:$X$4),""))</f>
        <v/>
      </c>
      <c r="M96" s="51" t="str">
        <f>IF(OR(M$2="",COUNT(الرصد!$C96:$Y96)=0),"",IFERROR(SUMIF(معالجة!$B$3:$X$3,M$2,الرصد!$C96:$Y96)/SUMIF(معالجة!$B$3:$X$3,M$2,معالجة!$B$4:$X$4),""))</f>
        <v/>
      </c>
      <c r="N96" s="51" t="str">
        <f>IF(OR(N$2="",COUNT(الرصد!$C96:$Y96)=0),"",IFERROR(SUMIF(معالجة!$B$3:$X$3,N$2,الرصد!$C96:$Y96)/SUMIF(معالجة!$B$3:$X$3,N$2,معالجة!$B$4:$X$4),""))</f>
        <v/>
      </c>
      <c r="O96" s="51" t="str">
        <f>IF(OR(O$2="",COUNT(الرصد!$C96:$Y96)=0),"",IFERROR(SUMIF(معالجة!$B$3:$X$3,O$2,الرصد!$C96:$Y96)/SUMIF(معالجة!$B$3:$X$3,O$2,معالجة!$B$4:$X$4),""))</f>
        <v/>
      </c>
      <c r="P96" s="51" t="str">
        <f>IF(OR(P$2="",COUNT(الرصد!$C96:$Y96)=0),"",IFERROR(SUMIF(معالجة!$B$3:$X$3,P$2,الرصد!$C96:$Y96)/SUMIF(معالجة!$B$3:$X$3,P$2,معالجة!$B$4:$X$4),""))</f>
        <v/>
      </c>
      <c r="Q96" s="51" t="str">
        <f>IF(OR(Q$2="",COUNT(الرصد!$C96:$Y96)=0),"",IFERROR(SUMIF(معالجة!$B$3:$X$3,Q$2,الرصد!$C96:$Y96)/SUMIF(معالجة!$B$3:$X$3,Q$2,معالجة!$B$4:$X$4),""))</f>
        <v/>
      </c>
      <c r="R96" s="51" t="str">
        <f>IF(OR(R$2="",COUNT(الرصد!$C96:$Y96)=0),"",IFERROR(SUMIF(معالجة!$B$3:$X$3,R$2,الرصد!$C96:$Y96)/SUMIF(معالجة!$B$3:$X$3,R$2,معالجة!$B$4:$X$4),""))</f>
        <v/>
      </c>
      <c r="S96" s="51" t="str">
        <f>IF(OR(S$2="",COUNT(الرصد!$C96:$Y96)=0),"",IFERROR(SUMIF(معالجة!$B$3:$X$3,S$2,الرصد!$C96:$Y96)/SUMIF(معالجة!$B$3:$X$3,S$2,معالجة!$B$4:$X$4),""))</f>
        <v/>
      </c>
      <c r="T96" s="51" t="str">
        <f>IF(OR(T$2="",COUNT(الرصد!$C96:$Y96)=0),"",IFERROR(SUMIF(معالجة!$B$3:$X$3,T$2,الرصد!$C96:$Y96)/SUMIF(معالجة!$B$3:$X$3,T$2,معالجة!$B$4:$X$4),""))</f>
        <v/>
      </c>
      <c r="U96" s="51" t="str">
        <f>IF(OR(U$2="",COUNT(الرصد!$C96:$Y96)=0),"",IFERROR(SUMIF(معالجة!$B$3:$X$3,U$2,الرصد!$C96:$Y96)/SUMIF(معالجة!$B$3:$X$3,U$2,معالجة!$B$4:$X$4),""))</f>
        <v/>
      </c>
      <c r="V96" s="51" t="str">
        <f>IF(OR(V$2="",COUNT(الرصد!$C96:$Y96)=0),"",IFERROR(SUMIF(معالجة!$B$3:$X$3,V$2,الرصد!$C96:$Y96)/SUMIF(معالجة!$B$3:$X$3,V$2,معالجة!$B$4:$X$4),""))</f>
        <v/>
      </c>
      <c r="W96" s="51" t="str">
        <f>IFERROR(C96/المهارات!$G$27,"")</f>
        <v/>
      </c>
    </row>
    <row r="97" spans="1:23" ht="14.25" customHeight="1">
      <c r="A97" s="42" t="s">
        <v>166</v>
      </c>
      <c r="B97" s="42" t="s">
        <v>21</v>
      </c>
      <c r="C97" s="50" t="str">
        <f>IF(COUNT(الرصد!C97:Y97)=0,"",SUM(الرصد!C97:Y97))</f>
        <v/>
      </c>
      <c r="D97" s="51" t="str">
        <f>IF(OR(D$2="",COUNT(الرصد!$C97:$Y97)=0),"",IFERROR(SUMIF(معالجة!$B$3:$X$3,D$2,الرصد!$C97:$Y97)/SUMIF(معالجة!$B$3:$X$3,D$2,معالجة!$B$4:$X$4),""))</f>
        <v/>
      </c>
      <c r="E97" s="51" t="str">
        <f>IF(OR(E$2="",COUNT(الرصد!$C97:$Y97)=0),"",IFERROR(SUMIF(معالجة!$B$3:$X$3,E$2,الرصد!$C97:$Y97)/SUMIF(معالجة!$B$3:$X$3,E$2,معالجة!$B$4:$X$4),""))</f>
        <v/>
      </c>
      <c r="F97" s="51" t="str">
        <f>IF(OR(F$2="",COUNT(الرصد!$C97:$Y97)=0),"",IFERROR(SUMIF(معالجة!$B$3:$X$3,F$2,الرصد!$C97:$Y97)/SUMIF(معالجة!$B$3:$X$3,F$2,معالجة!$B$4:$X$4),""))</f>
        <v/>
      </c>
      <c r="G97" s="51" t="str">
        <f>IF(OR(G$2="",COUNT(الرصد!$C97:$Y97)=0),"",IFERROR(SUMIF(معالجة!$B$3:$X$3,G$2,الرصد!$C97:$Y97)/SUMIF(معالجة!$B$3:$X$3,G$2,معالجة!$B$4:$X$4),""))</f>
        <v/>
      </c>
      <c r="H97" s="51" t="str">
        <f>IF(OR(H$2="",COUNT(الرصد!$C97:$Y97)=0),"",IFERROR(SUMIF(معالجة!$B$3:$X$3,H$2,الرصد!$C97:$Y97)/SUMIF(معالجة!$B$3:$X$3,H$2,معالجة!$B$4:$X$4),""))</f>
        <v/>
      </c>
      <c r="I97" s="51" t="str">
        <f>IF(OR(I$2="",COUNT(الرصد!$C97:$Y97)=0),"",IFERROR(SUMIF(معالجة!$B$3:$X$3,I$2,الرصد!$C97:$Y97)/SUMIF(معالجة!$B$3:$X$3,I$2,معالجة!$B$4:$X$4),""))</f>
        <v/>
      </c>
      <c r="J97" s="51" t="str">
        <f>IF(OR(J$2="",COUNT(الرصد!$C97:$Y97)=0),"",IFERROR(SUMIF(معالجة!$B$3:$X$3,J$2,الرصد!$C97:$Y97)/SUMIF(معالجة!$B$3:$X$3,J$2,معالجة!$B$4:$X$4),""))</f>
        <v/>
      </c>
      <c r="K97" s="51" t="str">
        <f>IF(OR(K$2="",COUNT(الرصد!$C97:$Y97)=0),"",IFERROR(SUMIF(معالجة!$B$3:$X$3,K$2,الرصد!$C97:$Y97)/SUMIF(معالجة!$B$3:$X$3,K$2,معالجة!$B$4:$X$4),""))</f>
        <v/>
      </c>
      <c r="L97" s="51" t="str">
        <f>IF(OR(L$2="",COUNT(الرصد!$C97:$Y97)=0),"",IFERROR(SUMIF(معالجة!$B$3:$X$3,L$2,الرصد!$C97:$Y97)/SUMIF(معالجة!$B$3:$X$3,L$2,معالجة!$B$4:$X$4),""))</f>
        <v/>
      </c>
      <c r="M97" s="51" t="str">
        <f>IF(OR(M$2="",COUNT(الرصد!$C97:$Y97)=0),"",IFERROR(SUMIF(معالجة!$B$3:$X$3,M$2,الرصد!$C97:$Y97)/SUMIF(معالجة!$B$3:$X$3,M$2,معالجة!$B$4:$X$4),""))</f>
        <v/>
      </c>
      <c r="N97" s="51" t="str">
        <f>IF(OR(N$2="",COUNT(الرصد!$C97:$Y97)=0),"",IFERROR(SUMIF(معالجة!$B$3:$X$3,N$2,الرصد!$C97:$Y97)/SUMIF(معالجة!$B$3:$X$3,N$2,معالجة!$B$4:$X$4),""))</f>
        <v/>
      </c>
      <c r="O97" s="51" t="str">
        <f>IF(OR(O$2="",COUNT(الرصد!$C97:$Y97)=0),"",IFERROR(SUMIF(معالجة!$B$3:$X$3,O$2,الرصد!$C97:$Y97)/SUMIF(معالجة!$B$3:$X$3,O$2,معالجة!$B$4:$X$4),""))</f>
        <v/>
      </c>
      <c r="P97" s="51" t="str">
        <f>IF(OR(P$2="",COUNT(الرصد!$C97:$Y97)=0),"",IFERROR(SUMIF(معالجة!$B$3:$X$3,P$2,الرصد!$C97:$Y97)/SUMIF(معالجة!$B$3:$X$3,P$2,معالجة!$B$4:$X$4),""))</f>
        <v/>
      </c>
      <c r="Q97" s="51" t="str">
        <f>IF(OR(Q$2="",COUNT(الرصد!$C97:$Y97)=0),"",IFERROR(SUMIF(معالجة!$B$3:$X$3,Q$2,الرصد!$C97:$Y97)/SUMIF(معالجة!$B$3:$X$3,Q$2,معالجة!$B$4:$X$4),""))</f>
        <v/>
      </c>
      <c r="R97" s="51" t="str">
        <f>IF(OR(R$2="",COUNT(الرصد!$C97:$Y97)=0),"",IFERROR(SUMIF(معالجة!$B$3:$X$3,R$2,الرصد!$C97:$Y97)/SUMIF(معالجة!$B$3:$X$3,R$2,معالجة!$B$4:$X$4),""))</f>
        <v/>
      </c>
      <c r="S97" s="51" t="str">
        <f>IF(OR(S$2="",COUNT(الرصد!$C97:$Y97)=0),"",IFERROR(SUMIF(معالجة!$B$3:$X$3,S$2,الرصد!$C97:$Y97)/SUMIF(معالجة!$B$3:$X$3,S$2,معالجة!$B$4:$X$4),""))</f>
        <v/>
      </c>
      <c r="T97" s="51" t="str">
        <f>IF(OR(T$2="",COUNT(الرصد!$C97:$Y97)=0),"",IFERROR(SUMIF(معالجة!$B$3:$X$3,T$2,الرصد!$C97:$Y97)/SUMIF(معالجة!$B$3:$X$3,T$2,معالجة!$B$4:$X$4),""))</f>
        <v/>
      </c>
      <c r="U97" s="51" t="str">
        <f>IF(OR(U$2="",COUNT(الرصد!$C97:$Y97)=0),"",IFERROR(SUMIF(معالجة!$B$3:$X$3,U$2,الرصد!$C97:$Y97)/SUMIF(معالجة!$B$3:$X$3,U$2,معالجة!$B$4:$X$4),""))</f>
        <v/>
      </c>
      <c r="V97" s="51" t="str">
        <f>IF(OR(V$2="",COUNT(الرصد!$C97:$Y97)=0),"",IFERROR(SUMIF(معالجة!$B$3:$X$3,V$2,الرصد!$C97:$Y97)/SUMIF(معالجة!$B$3:$X$3,V$2,معالجة!$B$4:$X$4),""))</f>
        <v/>
      </c>
      <c r="W97" s="51" t="str">
        <f>IFERROR(C97/المهارات!$G$27,"")</f>
        <v/>
      </c>
    </row>
    <row r="98" spans="1:23" ht="14.25" customHeight="1">
      <c r="A98" s="46" t="s">
        <v>167</v>
      </c>
      <c r="B98" s="46" t="s">
        <v>21</v>
      </c>
      <c r="C98" s="52" t="str">
        <f>IF(COUNT(الرصد!C98:Y98)=0,"",SUM(الرصد!C98:Y98))</f>
        <v/>
      </c>
      <c r="D98" s="51" t="str">
        <f>IF(OR(D$2="",COUNT(الرصد!$C98:$Y98)=0),"",IFERROR(SUMIF(معالجة!$B$3:$X$3,D$2,الرصد!$C98:$Y98)/SUMIF(معالجة!$B$3:$X$3,D$2,معالجة!$B$4:$X$4),""))</f>
        <v/>
      </c>
      <c r="E98" s="51" t="str">
        <f>IF(OR(E$2="",COUNT(الرصد!$C98:$Y98)=0),"",IFERROR(SUMIF(معالجة!$B$3:$X$3,E$2,الرصد!$C98:$Y98)/SUMIF(معالجة!$B$3:$X$3,E$2,معالجة!$B$4:$X$4),""))</f>
        <v/>
      </c>
      <c r="F98" s="51" t="str">
        <f>IF(OR(F$2="",COUNT(الرصد!$C98:$Y98)=0),"",IFERROR(SUMIF(معالجة!$B$3:$X$3,F$2,الرصد!$C98:$Y98)/SUMIF(معالجة!$B$3:$X$3,F$2,معالجة!$B$4:$X$4),""))</f>
        <v/>
      </c>
      <c r="G98" s="51" t="str">
        <f>IF(OR(G$2="",COUNT(الرصد!$C98:$Y98)=0),"",IFERROR(SUMIF(معالجة!$B$3:$X$3,G$2,الرصد!$C98:$Y98)/SUMIF(معالجة!$B$3:$X$3,G$2,معالجة!$B$4:$X$4),""))</f>
        <v/>
      </c>
      <c r="H98" s="51" t="str">
        <f>IF(OR(H$2="",COUNT(الرصد!$C98:$Y98)=0),"",IFERROR(SUMIF(معالجة!$B$3:$X$3,H$2,الرصد!$C98:$Y98)/SUMIF(معالجة!$B$3:$X$3,H$2,معالجة!$B$4:$X$4),""))</f>
        <v/>
      </c>
      <c r="I98" s="51" t="str">
        <f>IF(OR(I$2="",COUNT(الرصد!$C98:$Y98)=0),"",IFERROR(SUMIF(معالجة!$B$3:$X$3,I$2,الرصد!$C98:$Y98)/SUMIF(معالجة!$B$3:$X$3,I$2,معالجة!$B$4:$X$4),""))</f>
        <v/>
      </c>
      <c r="J98" s="51" t="str">
        <f>IF(OR(J$2="",COUNT(الرصد!$C98:$Y98)=0),"",IFERROR(SUMIF(معالجة!$B$3:$X$3,J$2,الرصد!$C98:$Y98)/SUMIF(معالجة!$B$3:$X$3,J$2,معالجة!$B$4:$X$4),""))</f>
        <v/>
      </c>
      <c r="K98" s="51" t="str">
        <f>IF(OR(K$2="",COUNT(الرصد!$C98:$Y98)=0),"",IFERROR(SUMIF(معالجة!$B$3:$X$3,K$2,الرصد!$C98:$Y98)/SUMIF(معالجة!$B$3:$X$3,K$2,معالجة!$B$4:$X$4),""))</f>
        <v/>
      </c>
      <c r="L98" s="51" t="str">
        <f>IF(OR(L$2="",COUNT(الرصد!$C98:$Y98)=0),"",IFERROR(SUMIF(معالجة!$B$3:$X$3,L$2,الرصد!$C98:$Y98)/SUMIF(معالجة!$B$3:$X$3,L$2,معالجة!$B$4:$X$4),""))</f>
        <v/>
      </c>
      <c r="M98" s="51" t="str">
        <f>IF(OR(M$2="",COUNT(الرصد!$C98:$Y98)=0),"",IFERROR(SUMIF(معالجة!$B$3:$X$3,M$2,الرصد!$C98:$Y98)/SUMIF(معالجة!$B$3:$X$3,M$2,معالجة!$B$4:$X$4),""))</f>
        <v/>
      </c>
      <c r="N98" s="51" t="str">
        <f>IF(OR(N$2="",COUNT(الرصد!$C98:$Y98)=0),"",IFERROR(SUMIF(معالجة!$B$3:$X$3,N$2,الرصد!$C98:$Y98)/SUMIF(معالجة!$B$3:$X$3,N$2,معالجة!$B$4:$X$4),""))</f>
        <v/>
      </c>
      <c r="O98" s="51" t="str">
        <f>IF(OR(O$2="",COUNT(الرصد!$C98:$Y98)=0),"",IFERROR(SUMIF(معالجة!$B$3:$X$3,O$2,الرصد!$C98:$Y98)/SUMIF(معالجة!$B$3:$X$3,O$2,معالجة!$B$4:$X$4),""))</f>
        <v/>
      </c>
      <c r="P98" s="51" t="str">
        <f>IF(OR(P$2="",COUNT(الرصد!$C98:$Y98)=0),"",IFERROR(SUMIF(معالجة!$B$3:$X$3,P$2,الرصد!$C98:$Y98)/SUMIF(معالجة!$B$3:$X$3,P$2,معالجة!$B$4:$X$4),""))</f>
        <v/>
      </c>
      <c r="Q98" s="51" t="str">
        <f>IF(OR(Q$2="",COUNT(الرصد!$C98:$Y98)=0),"",IFERROR(SUMIF(معالجة!$B$3:$X$3,Q$2,الرصد!$C98:$Y98)/SUMIF(معالجة!$B$3:$X$3,Q$2,معالجة!$B$4:$X$4),""))</f>
        <v/>
      </c>
      <c r="R98" s="51" t="str">
        <f>IF(OR(R$2="",COUNT(الرصد!$C98:$Y98)=0),"",IFERROR(SUMIF(معالجة!$B$3:$X$3,R$2,الرصد!$C98:$Y98)/SUMIF(معالجة!$B$3:$X$3,R$2,معالجة!$B$4:$X$4),""))</f>
        <v/>
      </c>
      <c r="S98" s="51" t="str">
        <f>IF(OR(S$2="",COUNT(الرصد!$C98:$Y98)=0),"",IFERROR(SUMIF(معالجة!$B$3:$X$3,S$2,الرصد!$C98:$Y98)/SUMIF(معالجة!$B$3:$X$3,S$2,معالجة!$B$4:$X$4),""))</f>
        <v/>
      </c>
      <c r="T98" s="51" t="str">
        <f>IF(OR(T$2="",COUNT(الرصد!$C98:$Y98)=0),"",IFERROR(SUMIF(معالجة!$B$3:$X$3,T$2,الرصد!$C98:$Y98)/SUMIF(معالجة!$B$3:$X$3,T$2,معالجة!$B$4:$X$4),""))</f>
        <v/>
      </c>
      <c r="U98" s="51" t="str">
        <f>IF(OR(U$2="",COUNT(الرصد!$C98:$Y98)=0),"",IFERROR(SUMIF(معالجة!$B$3:$X$3,U$2,الرصد!$C98:$Y98)/SUMIF(معالجة!$B$3:$X$3,U$2,معالجة!$B$4:$X$4),""))</f>
        <v/>
      </c>
      <c r="V98" s="51" t="str">
        <f>IF(OR(V$2="",COUNT(الرصد!$C98:$Y98)=0),"",IFERROR(SUMIF(معالجة!$B$3:$X$3,V$2,الرصد!$C98:$Y98)/SUMIF(معالجة!$B$3:$X$3,V$2,معالجة!$B$4:$X$4),""))</f>
        <v/>
      </c>
      <c r="W98" s="51" t="str">
        <f>IFERROR(C98/المهارات!$G$27,"")</f>
        <v/>
      </c>
    </row>
    <row r="99" spans="1:23" ht="14.25" customHeight="1">
      <c r="A99" s="42" t="s">
        <v>168</v>
      </c>
      <c r="B99" s="42" t="s">
        <v>21</v>
      </c>
      <c r="C99" s="50" t="str">
        <f>IF(COUNT(الرصد!C99:Y99)=0,"",SUM(الرصد!C99:Y99))</f>
        <v/>
      </c>
      <c r="D99" s="51" t="str">
        <f>IF(OR(D$2="",COUNT(الرصد!$C99:$Y99)=0),"",IFERROR(SUMIF(معالجة!$B$3:$X$3,D$2,الرصد!$C99:$Y99)/SUMIF(معالجة!$B$3:$X$3,D$2,معالجة!$B$4:$X$4),""))</f>
        <v/>
      </c>
      <c r="E99" s="51" t="str">
        <f>IF(OR(E$2="",COUNT(الرصد!$C99:$Y99)=0),"",IFERROR(SUMIF(معالجة!$B$3:$X$3,E$2,الرصد!$C99:$Y99)/SUMIF(معالجة!$B$3:$X$3,E$2,معالجة!$B$4:$X$4),""))</f>
        <v/>
      </c>
      <c r="F99" s="51" t="str">
        <f>IF(OR(F$2="",COUNT(الرصد!$C99:$Y99)=0),"",IFERROR(SUMIF(معالجة!$B$3:$X$3,F$2,الرصد!$C99:$Y99)/SUMIF(معالجة!$B$3:$X$3,F$2,معالجة!$B$4:$X$4),""))</f>
        <v/>
      </c>
      <c r="G99" s="51" t="str">
        <f>IF(OR(G$2="",COUNT(الرصد!$C99:$Y99)=0),"",IFERROR(SUMIF(معالجة!$B$3:$X$3,G$2,الرصد!$C99:$Y99)/SUMIF(معالجة!$B$3:$X$3,G$2,معالجة!$B$4:$X$4),""))</f>
        <v/>
      </c>
      <c r="H99" s="51" t="str">
        <f>IF(OR(H$2="",COUNT(الرصد!$C99:$Y99)=0),"",IFERROR(SUMIF(معالجة!$B$3:$X$3,H$2,الرصد!$C99:$Y99)/SUMIF(معالجة!$B$3:$X$3,H$2,معالجة!$B$4:$X$4),""))</f>
        <v/>
      </c>
      <c r="I99" s="51" t="str">
        <f>IF(OR(I$2="",COUNT(الرصد!$C99:$Y99)=0),"",IFERROR(SUMIF(معالجة!$B$3:$X$3,I$2,الرصد!$C99:$Y99)/SUMIF(معالجة!$B$3:$X$3,I$2,معالجة!$B$4:$X$4),""))</f>
        <v/>
      </c>
      <c r="J99" s="51" t="str">
        <f>IF(OR(J$2="",COUNT(الرصد!$C99:$Y99)=0),"",IFERROR(SUMIF(معالجة!$B$3:$X$3,J$2,الرصد!$C99:$Y99)/SUMIF(معالجة!$B$3:$X$3,J$2,معالجة!$B$4:$X$4),""))</f>
        <v/>
      </c>
      <c r="K99" s="51" t="str">
        <f>IF(OR(K$2="",COUNT(الرصد!$C99:$Y99)=0),"",IFERROR(SUMIF(معالجة!$B$3:$X$3,K$2,الرصد!$C99:$Y99)/SUMIF(معالجة!$B$3:$X$3,K$2,معالجة!$B$4:$X$4),""))</f>
        <v/>
      </c>
      <c r="L99" s="51" t="str">
        <f>IF(OR(L$2="",COUNT(الرصد!$C99:$Y99)=0),"",IFERROR(SUMIF(معالجة!$B$3:$X$3,L$2,الرصد!$C99:$Y99)/SUMIF(معالجة!$B$3:$X$3,L$2,معالجة!$B$4:$X$4),""))</f>
        <v/>
      </c>
      <c r="M99" s="51" t="str">
        <f>IF(OR(M$2="",COUNT(الرصد!$C99:$Y99)=0),"",IFERROR(SUMIF(معالجة!$B$3:$X$3,M$2,الرصد!$C99:$Y99)/SUMIF(معالجة!$B$3:$X$3,M$2,معالجة!$B$4:$X$4),""))</f>
        <v/>
      </c>
      <c r="N99" s="51" t="str">
        <f>IF(OR(N$2="",COUNT(الرصد!$C99:$Y99)=0),"",IFERROR(SUMIF(معالجة!$B$3:$X$3,N$2,الرصد!$C99:$Y99)/SUMIF(معالجة!$B$3:$X$3,N$2,معالجة!$B$4:$X$4),""))</f>
        <v/>
      </c>
      <c r="O99" s="51" t="str">
        <f>IF(OR(O$2="",COUNT(الرصد!$C99:$Y99)=0),"",IFERROR(SUMIF(معالجة!$B$3:$X$3,O$2,الرصد!$C99:$Y99)/SUMIF(معالجة!$B$3:$X$3,O$2,معالجة!$B$4:$X$4),""))</f>
        <v/>
      </c>
      <c r="P99" s="51" t="str">
        <f>IF(OR(P$2="",COUNT(الرصد!$C99:$Y99)=0),"",IFERROR(SUMIF(معالجة!$B$3:$X$3,P$2,الرصد!$C99:$Y99)/SUMIF(معالجة!$B$3:$X$3,P$2,معالجة!$B$4:$X$4),""))</f>
        <v/>
      </c>
      <c r="Q99" s="51" t="str">
        <f>IF(OR(Q$2="",COUNT(الرصد!$C99:$Y99)=0),"",IFERROR(SUMIF(معالجة!$B$3:$X$3,Q$2,الرصد!$C99:$Y99)/SUMIF(معالجة!$B$3:$X$3,Q$2,معالجة!$B$4:$X$4),""))</f>
        <v/>
      </c>
      <c r="R99" s="51" t="str">
        <f>IF(OR(R$2="",COUNT(الرصد!$C99:$Y99)=0),"",IFERROR(SUMIF(معالجة!$B$3:$X$3,R$2,الرصد!$C99:$Y99)/SUMIF(معالجة!$B$3:$X$3,R$2,معالجة!$B$4:$X$4),""))</f>
        <v/>
      </c>
      <c r="S99" s="51" t="str">
        <f>IF(OR(S$2="",COUNT(الرصد!$C99:$Y99)=0),"",IFERROR(SUMIF(معالجة!$B$3:$X$3,S$2,الرصد!$C99:$Y99)/SUMIF(معالجة!$B$3:$X$3,S$2,معالجة!$B$4:$X$4),""))</f>
        <v/>
      </c>
      <c r="T99" s="51" t="str">
        <f>IF(OR(T$2="",COUNT(الرصد!$C99:$Y99)=0),"",IFERROR(SUMIF(معالجة!$B$3:$X$3,T$2,الرصد!$C99:$Y99)/SUMIF(معالجة!$B$3:$X$3,T$2,معالجة!$B$4:$X$4),""))</f>
        <v/>
      </c>
      <c r="U99" s="51" t="str">
        <f>IF(OR(U$2="",COUNT(الرصد!$C99:$Y99)=0),"",IFERROR(SUMIF(معالجة!$B$3:$X$3,U$2,الرصد!$C99:$Y99)/SUMIF(معالجة!$B$3:$X$3,U$2,معالجة!$B$4:$X$4),""))</f>
        <v/>
      </c>
      <c r="V99" s="51" t="str">
        <f>IF(OR(V$2="",COUNT(الرصد!$C99:$Y99)=0),"",IFERROR(SUMIF(معالجة!$B$3:$X$3,V$2,الرصد!$C99:$Y99)/SUMIF(معالجة!$B$3:$X$3,V$2,معالجة!$B$4:$X$4),""))</f>
        <v/>
      </c>
      <c r="W99" s="51" t="str">
        <f>IFERROR(C99/المهارات!$G$27,"")</f>
        <v/>
      </c>
    </row>
    <row r="100" spans="1:23" ht="14.25" customHeight="1">
      <c r="A100" s="46" t="s">
        <v>169</v>
      </c>
      <c r="B100" s="46" t="s">
        <v>21</v>
      </c>
      <c r="C100" s="52" t="str">
        <f>IF(COUNT(الرصد!C100:Y100)=0,"",SUM(الرصد!C100:Y100))</f>
        <v/>
      </c>
      <c r="D100" s="51" t="str">
        <f>IF(OR(D$2="",COUNT(الرصد!$C100:$Y100)=0),"",IFERROR(SUMIF(معالجة!$B$3:$X$3,D$2,الرصد!$C100:$Y100)/SUMIF(معالجة!$B$3:$X$3,D$2,معالجة!$B$4:$X$4),""))</f>
        <v/>
      </c>
      <c r="E100" s="51" t="str">
        <f>IF(OR(E$2="",COUNT(الرصد!$C100:$Y100)=0),"",IFERROR(SUMIF(معالجة!$B$3:$X$3,E$2,الرصد!$C100:$Y100)/SUMIF(معالجة!$B$3:$X$3,E$2,معالجة!$B$4:$X$4),""))</f>
        <v/>
      </c>
      <c r="F100" s="51" t="str">
        <f>IF(OR(F$2="",COUNT(الرصد!$C100:$Y100)=0),"",IFERROR(SUMIF(معالجة!$B$3:$X$3,F$2,الرصد!$C100:$Y100)/SUMIF(معالجة!$B$3:$X$3,F$2,معالجة!$B$4:$X$4),""))</f>
        <v/>
      </c>
      <c r="G100" s="51" t="str">
        <f>IF(OR(G$2="",COUNT(الرصد!$C100:$Y100)=0),"",IFERROR(SUMIF(معالجة!$B$3:$X$3,G$2,الرصد!$C100:$Y100)/SUMIF(معالجة!$B$3:$X$3,G$2,معالجة!$B$4:$X$4),""))</f>
        <v/>
      </c>
      <c r="H100" s="51" t="str">
        <f>IF(OR(H$2="",COUNT(الرصد!$C100:$Y100)=0),"",IFERROR(SUMIF(معالجة!$B$3:$X$3,H$2,الرصد!$C100:$Y100)/SUMIF(معالجة!$B$3:$X$3,H$2,معالجة!$B$4:$X$4),""))</f>
        <v/>
      </c>
      <c r="I100" s="51" t="str">
        <f>IF(OR(I$2="",COUNT(الرصد!$C100:$Y100)=0),"",IFERROR(SUMIF(معالجة!$B$3:$X$3,I$2,الرصد!$C100:$Y100)/SUMIF(معالجة!$B$3:$X$3,I$2,معالجة!$B$4:$X$4),""))</f>
        <v/>
      </c>
      <c r="J100" s="51" t="str">
        <f>IF(OR(J$2="",COUNT(الرصد!$C100:$Y100)=0),"",IFERROR(SUMIF(معالجة!$B$3:$X$3,J$2,الرصد!$C100:$Y100)/SUMIF(معالجة!$B$3:$X$3,J$2,معالجة!$B$4:$X$4),""))</f>
        <v/>
      </c>
      <c r="K100" s="51" t="str">
        <f>IF(OR(K$2="",COUNT(الرصد!$C100:$Y100)=0),"",IFERROR(SUMIF(معالجة!$B$3:$X$3,K$2,الرصد!$C100:$Y100)/SUMIF(معالجة!$B$3:$X$3,K$2,معالجة!$B$4:$X$4),""))</f>
        <v/>
      </c>
      <c r="L100" s="51" t="str">
        <f>IF(OR(L$2="",COUNT(الرصد!$C100:$Y100)=0),"",IFERROR(SUMIF(معالجة!$B$3:$X$3,L$2,الرصد!$C100:$Y100)/SUMIF(معالجة!$B$3:$X$3,L$2,معالجة!$B$4:$X$4),""))</f>
        <v/>
      </c>
      <c r="M100" s="51" t="str">
        <f>IF(OR(M$2="",COUNT(الرصد!$C100:$Y100)=0),"",IFERROR(SUMIF(معالجة!$B$3:$X$3,M$2,الرصد!$C100:$Y100)/SUMIF(معالجة!$B$3:$X$3,M$2,معالجة!$B$4:$X$4),""))</f>
        <v/>
      </c>
      <c r="N100" s="51" t="str">
        <f>IF(OR(N$2="",COUNT(الرصد!$C100:$Y100)=0),"",IFERROR(SUMIF(معالجة!$B$3:$X$3,N$2,الرصد!$C100:$Y100)/SUMIF(معالجة!$B$3:$X$3,N$2,معالجة!$B$4:$X$4),""))</f>
        <v/>
      </c>
      <c r="O100" s="51" t="str">
        <f>IF(OR(O$2="",COUNT(الرصد!$C100:$Y100)=0),"",IFERROR(SUMIF(معالجة!$B$3:$X$3,O$2,الرصد!$C100:$Y100)/SUMIF(معالجة!$B$3:$X$3,O$2,معالجة!$B$4:$X$4),""))</f>
        <v/>
      </c>
      <c r="P100" s="51" t="str">
        <f>IF(OR(P$2="",COUNT(الرصد!$C100:$Y100)=0),"",IFERROR(SUMIF(معالجة!$B$3:$X$3,P$2,الرصد!$C100:$Y100)/SUMIF(معالجة!$B$3:$X$3,P$2,معالجة!$B$4:$X$4),""))</f>
        <v/>
      </c>
      <c r="Q100" s="51" t="str">
        <f>IF(OR(Q$2="",COUNT(الرصد!$C100:$Y100)=0),"",IFERROR(SUMIF(معالجة!$B$3:$X$3,Q$2,الرصد!$C100:$Y100)/SUMIF(معالجة!$B$3:$X$3,Q$2,معالجة!$B$4:$X$4),""))</f>
        <v/>
      </c>
      <c r="R100" s="51" t="str">
        <f>IF(OR(R$2="",COUNT(الرصد!$C100:$Y100)=0),"",IFERROR(SUMIF(معالجة!$B$3:$X$3,R$2,الرصد!$C100:$Y100)/SUMIF(معالجة!$B$3:$X$3,R$2,معالجة!$B$4:$X$4),""))</f>
        <v/>
      </c>
      <c r="S100" s="51" t="str">
        <f>IF(OR(S$2="",COUNT(الرصد!$C100:$Y100)=0),"",IFERROR(SUMIF(معالجة!$B$3:$X$3,S$2,الرصد!$C100:$Y100)/SUMIF(معالجة!$B$3:$X$3,S$2,معالجة!$B$4:$X$4),""))</f>
        <v/>
      </c>
      <c r="T100" s="51" t="str">
        <f>IF(OR(T$2="",COUNT(الرصد!$C100:$Y100)=0),"",IFERROR(SUMIF(معالجة!$B$3:$X$3,T$2,الرصد!$C100:$Y100)/SUMIF(معالجة!$B$3:$X$3,T$2,معالجة!$B$4:$X$4),""))</f>
        <v/>
      </c>
      <c r="U100" s="51" t="str">
        <f>IF(OR(U$2="",COUNT(الرصد!$C100:$Y100)=0),"",IFERROR(SUMIF(معالجة!$B$3:$X$3,U$2,الرصد!$C100:$Y100)/SUMIF(معالجة!$B$3:$X$3,U$2,معالجة!$B$4:$X$4),""))</f>
        <v/>
      </c>
      <c r="V100" s="51" t="str">
        <f>IF(OR(V$2="",COUNT(الرصد!$C100:$Y100)=0),"",IFERROR(SUMIF(معالجة!$B$3:$X$3,V$2,الرصد!$C100:$Y100)/SUMIF(معالجة!$B$3:$X$3,V$2,معالجة!$B$4:$X$4),""))</f>
        <v/>
      </c>
      <c r="W100" s="51" t="str">
        <f>IFERROR(C100/المهارات!$G$27,"")</f>
        <v/>
      </c>
    </row>
    <row r="101" spans="1:23" ht="14.25" customHeight="1">
      <c r="A101" s="42" t="s">
        <v>170</v>
      </c>
      <c r="B101" s="42" t="s">
        <v>21</v>
      </c>
      <c r="C101" s="50" t="str">
        <f>IF(COUNT(الرصد!C101:Y101)=0,"",SUM(الرصد!C101:Y101))</f>
        <v/>
      </c>
      <c r="D101" s="51" t="str">
        <f>IF(OR(D$2="",COUNT(الرصد!$C101:$Y101)=0),"",IFERROR(SUMIF(معالجة!$B$3:$X$3,D$2,الرصد!$C101:$Y101)/SUMIF(معالجة!$B$3:$X$3,D$2,معالجة!$B$4:$X$4),""))</f>
        <v/>
      </c>
      <c r="E101" s="51" t="str">
        <f>IF(OR(E$2="",COUNT(الرصد!$C101:$Y101)=0),"",IFERROR(SUMIF(معالجة!$B$3:$X$3,E$2,الرصد!$C101:$Y101)/SUMIF(معالجة!$B$3:$X$3,E$2,معالجة!$B$4:$X$4),""))</f>
        <v/>
      </c>
      <c r="F101" s="51" t="str">
        <f>IF(OR(F$2="",COUNT(الرصد!$C101:$Y101)=0),"",IFERROR(SUMIF(معالجة!$B$3:$X$3,F$2,الرصد!$C101:$Y101)/SUMIF(معالجة!$B$3:$X$3,F$2,معالجة!$B$4:$X$4),""))</f>
        <v/>
      </c>
      <c r="G101" s="51" t="str">
        <f>IF(OR(G$2="",COUNT(الرصد!$C101:$Y101)=0),"",IFERROR(SUMIF(معالجة!$B$3:$X$3,G$2,الرصد!$C101:$Y101)/SUMIF(معالجة!$B$3:$X$3,G$2,معالجة!$B$4:$X$4),""))</f>
        <v/>
      </c>
      <c r="H101" s="51" t="str">
        <f>IF(OR(H$2="",COUNT(الرصد!$C101:$Y101)=0),"",IFERROR(SUMIF(معالجة!$B$3:$X$3,H$2,الرصد!$C101:$Y101)/SUMIF(معالجة!$B$3:$X$3,H$2,معالجة!$B$4:$X$4),""))</f>
        <v/>
      </c>
      <c r="I101" s="51" t="str">
        <f>IF(OR(I$2="",COUNT(الرصد!$C101:$Y101)=0),"",IFERROR(SUMIF(معالجة!$B$3:$X$3,I$2,الرصد!$C101:$Y101)/SUMIF(معالجة!$B$3:$X$3,I$2,معالجة!$B$4:$X$4),""))</f>
        <v/>
      </c>
      <c r="J101" s="51" t="str">
        <f>IF(OR(J$2="",COUNT(الرصد!$C101:$Y101)=0),"",IFERROR(SUMIF(معالجة!$B$3:$X$3,J$2,الرصد!$C101:$Y101)/SUMIF(معالجة!$B$3:$X$3,J$2,معالجة!$B$4:$X$4),""))</f>
        <v/>
      </c>
      <c r="K101" s="51" t="str">
        <f>IF(OR(K$2="",COUNT(الرصد!$C101:$Y101)=0),"",IFERROR(SUMIF(معالجة!$B$3:$X$3,K$2,الرصد!$C101:$Y101)/SUMIF(معالجة!$B$3:$X$3,K$2,معالجة!$B$4:$X$4),""))</f>
        <v/>
      </c>
      <c r="L101" s="51" t="str">
        <f>IF(OR(L$2="",COUNT(الرصد!$C101:$Y101)=0),"",IFERROR(SUMIF(معالجة!$B$3:$X$3,L$2,الرصد!$C101:$Y101)/SUMIF(معالجة!$B$3:$X$3,L$2,معالجة!$B$4:$X$4),""))</f>
        <v/>
      </c>
      <c r="M101" s="51" t="str">
        <f>IF(OR(M$2="",COUNT(الرصد!$C101:$Y101)=0),"",IFERROR(SUMIF(معالجة!$B$3:$X$3,M$2,الرصد!$C101:$Y101)/SUMIF(معالجة!$B$3:$X$3,M$2,معالجة!$B$4:$X$4),""))</f>
        <v/>
      </c>
      <c r="N101" s="51" t="str">
        <f>IF(OR(N$2="",COUNT(الرصد!$C101:$Y101)=0),"",IFERROR(SUMIF(معالجة!$B$3:$X$3,N$2,الرصد!$C101:$Y101)/SUMIF(معالجة!$B$3:$X$3,N$2,معالجة!$B$4:$X$4),""))</f>
        <v/>
      </c>
      <c r="O101" s="51" t="str">
        <f>IF(OR(O$2="",COUNT(الرصد!$C101:$Y101)=0),"",IFERROR(SUMIF(معالجة!$B$3:$X$3,O$2,الرصد!$C101:$Y101)/SUMIF(معالجة!$B$3:$X$3,O$2,معالجة!$B$4:$X$4),""))</f>
        <v/>
      </c>
      <c r="P101" s="51" t="str">
        <f>IF(OR(P$2="",COUNT(الرصد!$C101:$Y101)=0),"",IFERROR(SUMIF(معالجة!$B$3:$X$3,P$2,الرصد!$C101:$Y101)/SUMIF(معالجة!$B$3:$X$3,P$2,معالجة!$B$4:$X$4),""))</f>
        <v/>
      </c>
      <c r="Q101" s="51" t="str">
        <f>IF(OR(Q$2="",COUNT(الرصد!$C101:$Y101)=0),"",IFERROR(SUMIF(معالجة!$B$3:$X$3,Q$2,الرصد!$C101:$Y101)/SUMIF(معالجة!$B$3:$X$3,Q$2,معالجة!$B$4:$X$4),""))</f>
        <v/>
      </c>
      <c r="R101" s="51" t="str">
        <f>IF(OR(R$2="",COUNT(الرصد!$C101:$Y101)=0),"",IFERROR(SUMIF(معالجة!$B$3:$X$3,R$2,الرصد!$C101:$Y101)/SUMIF(معالجة!$B$3:$X$3,R$2,معالجة!$B$4:$X$4),""))</f>
        <v/>
      </c>
      <c r="S101" s="51" t="str">
        <f>IF(OR(S$2="",COUNT(الرصد!$C101:$Y101)=0),"",IFERROR(SUMIF(معالجة!$B$3:$X$3,S$2,الرصد!$C101:$Y101)/SUMIF(معالجة!$B$3:$X$3,S$2,معالجة!$B$4:$X$4),""))</f>
        <v/>
      </c>
      <c r="T101" s="51" t="str">
        <f>IF(OR(T$2="",COUNT(الرصد!$C101:$Y101)=0),"",IFERROR(SUMIF(معالجة!$B$3:$X$3,T$2,الرصد!$C101:$Y101)/SUMIF(معالجة!$B$3:$X$3,T$2,معالجة!$B$4:$X$4),""))</f>
        <v/>
      </c>
      <c r="U101" s="51" t="str">
        <f>IF(OR(U$2="",COUNT(الرصد!$C101:$Y101)=0),"",IFERROR(SUMIF(معالجة!$B$3:$X$3,U$2,الرصد!$C101:$Y101)/SUMIF(معالجة!$B$3:$X$3,U$2,معالجة!$B$4:$X$4),""))</f>
        <v/>
      </c>
      <c r="V101" s="51" t="str">
        <f>IF(OR(V$2="",COUNT(الرصد!$C101:$Y101)=0),"",IFERROR(SUMIF(معالجة!$B$3:$X$3,V$2,الرصد!$C101:$Y101)/SUMIF(معالجة!$B$3:$X$3,V$2,معالجة!$B$4:$X$4),""))</f>
        <v/>
      </c>
      <c r="W101" s="51" t="str">
        <f>IFERROR(C101/المهارات!$G$27,"")</f>
        <v/>
      </c>
    </row>
    <row r="102" spans="1:23" ht="14.25" customHeight="1">
      <c r="A102" s="46" t="s">
        <v>171</v>
      </c>
      <c r="B102" s="46" t="s">
        <v>21</v>
      </c>
      <c r="C102" s="52" t="str">
        <f>IF(COUNT(الرصد!C102:Y102)=0,"",SUM(الرصد!C102:Y102))</f>
        <v/>
      </c>
      <c r="D102" s="51" t="str">
        <f>IF(OR(D$2="",COUNT(الرصد!$C102:$Y102)=0),"",IFERROR(SUMIF(معالجة!$B$3:$X$3,D$2,الرصد!$C102:$Y102)/SUMIF(معالجة!$B$3:$X$3,D$2,معالجة!$B$4:$X$4),""))</f>
        <v/>
      </c>
      <c r="E102" s="51" t="str">
        <f>IF(OR(E$2="",COUNT(الرصد!$C102:$Y102)=0),"",IFERROR(SUMIF(معالجة!$B$3:$X$3,E$2,الرصد!$C102:$Y102)/SUMIF(معالجة!$B$3:$X$3,E$2,معالجة!$B$4:$X$4),""))</f>
        <v/>
      </c>
      <c r="F102" s="51" t="str">
        <f>IF(OR(F$2="",COUNT(الرصد!$C102:$Y102)=0),"",IFERROR(SUMIF(معالجة!$B$3:$X$3,F$2,الرصد!$C102:$Y102)/SUMIF(معالجة!$B$3:$X$3,F$2,معالجة!$B$4:$X$4),""))</f>
        <v/>
      </c>
      <c r="G102" s="51" t="str">
        <f>IF(OR(G$2="",COUNT(الرصد!$C102:$Y102)=0),"",IFERROR(SUMIF(معالجة!$B$3:$X$3,G$2,الرصد!$C102:$Y102)/SUMIF(معالجة!$B$3:$X$3,G$2,معالجة!$B$4:$X$4),""))</f>
        <v/>
      </c>
      <c r="H102" s="51" t="str">
        <f>IF(OR(H$2="",COUNT(الرصد!$C102:$Y102)=0),"",IFERROR(SUMIF(معالجة!$B$3:$X$3,H$2,الرصد!$C102:$Y102)/SUMIF(معالجة!$B$3:$X$3,H$2,معالجة!$B$4:$X$4),""))</f>
        <v/>
      </c>
      <c r="I102" s="51" t="str">
        <f>IF(OR(I$2="",COUNT(الرصد!$C102:$Y102)=0),"",IFERROR(SUMIF(معالجة!$B$3:$X$3,I$2,الرصد!$C102:$Y102)/SUMIF(معالجة!$B$3:$X$3,I$2,معالجة!$B$4:$X$4),""))</f>
        <v/>
      </c>
      <c r="J102" s="51" t="str">
        <f>IF(OR(J$2="",COUNT(الرصد!$C102:$Y102)=0),"",IFERROR(SUMIF(معالجة!$B$3:$X$3,J$2,الرصد!$C102:$Y102)/SUMIF(معالجة!$B$3:$X$3,J$2,معالجة!$B$4:$X$4),""))</f>
        <v/>
      </c>
      <c r="K102" s="51" t="str">
        <f>IF(OR(K$2="",COUNT(الرصد!$C102:$Y102)=0),"",IFERROR(SUMIF(معالجة!$B$3:$X$3,K$2,الرصد!$C102:$Y102)/SUMIF(معالجة!$B$3:$X$3,K$2,معالجة!$B$4:$X$4),""))</f>
        <v/>
      </c>
      <c r="L102" s="51" t="str">
        <f>IF(OR(L$2="",COUNT(الرصد!$C102:$Y102)=0),"",IFERROR(SUMIF(معالجة!$B$3:$X$3,L$2,الرصد!$C102:$Y102)/SUMIF(معالجة!$B$3:$X$3,L$2,معالجة!$B$4:$X$4),""))</f>
        <v/>
      </c>
      <c r="M102" s="51" t="str">
        <f>IF(OR(M$2="",COUNT(الرصد!$C102:$Y102)=0),"",IFERROR(SUMIF(معالجة!$B$3:$X$3,M$2,الرصد!$C102:$Y102)/SUMIF(معالجة!$B$3:$X$3,M$2,معالجة!$B$4:$X$4),""))</f>
        <v/>
      </c>
      <c r="N102" s="51" t="str">
        <f>IF(OR(N$2="",COUNT(الرصد!$C102:$Y102)=0),"",IFERROR(SUMIF(معالجة!$B$3:$X$3,N$2,الرصد!$C102:$Y102)/SUMIF(معالجة!$B$3:$X$3,N$2,معالجة!$B$4:$X$4),""))</f>
        <v/>
      </c>
      <c r="O102" s="51" t="str">
        <f>IF(OR(O$2="",COUNT(الرصد!$C102:$Y102)=0),"",IFERROR(SUMIF(معالجة!$B$3:$X$3,O$2,الرصد!$C102:$Y102)/SUMIF(معالجة!$B$3:$X$3,O$2,معالجة!$B$4:$X$4),""))</f>
        <v/>
      </c>
      <c r="P102" s="51" t="str">
        <f>IF(OR(P$2="",COUNT(الرصد!$C102:$Y102)=0),"",IFERROR(SUMIF(معالجة!$B$3:$X$3,P$2,الرصد!$C102:$Y102)/SUMIF(معالجة!$B$3:$X$3,P$2,معالجة!$B$4:$X$4),""))</f>
        <v/>
      </c>
      <c r="Q102" s="51" t="str">
        <f>IF(OR(Q$2="",COUNT(الرصد!$C102:$Y102)=0),"",IFERROR(SUMIF(معالجة!$B$3:$X$3,Q$2,الرصد!$C102:$Y102)/SUMIF(معالجة!$B$3:$X$3,Q$2,معالجة!$B$4:$X$4),""))</f>
        <v/>
      </c>
      <c r="R102" s="51" t="str">
        <f>IF(OR(R$2="",COUNT(الرصد!$C102:$Y102)=0),"",IFERROR(SUMIF(معالجة!$B$3:$X$3,R$2,الرصد!$C102:$Y102)/SUMIF(معالجة!$B$3:$X$3,R$2,معالجة!$B$4:$X$4),""))</f>
        <v/>
      </c>
      <c r="S102" s="51" t="str">
        <f>IF(OR(S$2="",COUNT(الرصد!$C102:$Y102)=0),"",IFERROR(SUMIF(معالجة!$B$3:$X$3,S$2,الرصد!$C102:$Y102)/SUMIF(معالجة!$B$3:$X$3,S$2,معالجة!$B$4:$X$4),""))</f>
        <v/>
      </c>
      <c r="T102" s="51" t="str">
        <f>IF(OR(T$2="",COUNT(الرصد!$C102:$Y102)=0),"",IFERROR(SUMIF(معالجة!$B$3:$X$3,T$2,الرصد!$C102:$Y102)/SUMIF(معالجة!$B$3:$X$3,T$2,معالجة!$B$4:$X$4),""))</f>
        <v/>
      </c>
      <c r="U102" s="51" t="str">
        <f>IF(OR(U$2="",COUNT(الرصد!$C102:$Y102)=0),"",IFERROR(SUMIF(معالجة!$B$3:$X$3,U$2,الرصد!$C102:$Y102)/SUMIF(معالجة!$B$3:$X$3,U$2,معالجة!$B$4:$X$4),""))</f>
        <v/>
      </c>
      <c r="V102" s="51" t="str">
        <f>IF(OR(V$2="",COUNT(الرصد!$C102:$Y102)=0),"",IFERROR(SUMIF(معالجة!$B$3:$X$3,V$2,الرصد!$C102:$Y102)/SUMIF(معالجة!$B$3:$X$3,V$2,معالجة!$B$4:$X$4),""))</f>
        <v/>
      </c>
      <c r="W102" s="51" t="str">
        <f>IFERROR(C102/المهارات!$G$27,"")</f>
        <v/>
      </c>
    </row>
    <row r="103" spans="1:23" ht="14.25" customHeight="1">
      <c r="A103" s="42" t="s">
        <v>172</v>
      </c>
      <c r="B103" s="42" t="s">
        <v>21</v>
      </c>
      <c r="C103" s="50" t="str">
        <f>IF(COUNT(الرصد!C103:Y103)=0,"",SUM(الرصد!C103:Y103))</f>
        <v/>
      </c>
      <c r="D103" s="51" t="str">
        <f>IF(OR(D$2="",COUNT(الرصد!$C103:$Y103)=0),"",IFERROR(SUMIF(معالجة!$B$3:$X$3,D$2,الرصد!$C103:$Y103)/SUMIF(معالجة!$B$3:$X$3,D$2,معالجة!$B$4:$X$4),""))</f>
        <v/>
      </c>
      <c r="E103" s="51" t="str">
        <f>IF(OR(E$2="",COUNT(الرصد!$C103:$Y103)=0),"",IFERROR(SUMIF(معالجة!$B$3:$X$3,E$2,الرصد!$C103:$Y103)/SUMIF(معالجة!$B$3:$X$3,E$2,معالجة!$B$4:$X$4),""))</f>
        <v/>
      </c>
      <c r="F103" s="51" t="str">
        <f>IF(OR(F$2="",COUNT(الرصد!$C103:$Y103)=0),"",IFERROR(SUMIF(معالجة!$B$3:$X$3,F$2,الرصد!$C103:$Y103)/SUMIF(معالجة!$B$3:$X$3,F$2,معالجة!$B$4:$X$4),""))</f>
        <v/>
      </c>
      <c r="G103" s="51" t="str">
        <f>IF(OR(G$2="",COUNT(الرصد!$C103:$Y103)=0),"",IFERROR(SUMIF(معالجة!$B$3:$X$3,G$2,الرصد!$C103:$Y103)/SUMIF(معالجة!$B$3:$X$3,G$2,معالجة!$B$4:$X$4),""))</f>
        <v/>
      </c>
      <c r="H103" s="51" t="str">
        <f>IF(OR(H$2="",COUNT(الرصد!$C103:$Y103)=0),"",IFERROR(SUMIF(معالجة!$B$3:$X$3,H$2,الرصد!$C103:$Y103)/SUMIF(معالجة!$B$3:$X$3,H$2,معالجة!$B$4:$X$4),""))</f>
        <v/>
      </c>
      <c r="I103" s="51" t="str">
        <f>IF(OR(I$2="",COUNT(الرصد!$C103:$Y103)=0),"",IFERROR(SUMIF(معالجة!$B$3:$X$3,I$2,الرصد!$C103:$Y103)/SUMIF(معالجة!$B$3:$X$3,I$2,معالجة!$B$4:$X$4),""))</f>
        <v/>
      </c>
      <c r="J103" s="51" t="str">
        <f>IF(OR(J$2="",COUNT(الرصد!$C103:$Y103)=0),"",IFERROR(SUMIF(معالجة!$B$3:$X$3,J$2,الرصد!$C103:$Y103)/SUMIF(معالجة!$B$3:$X$3,J$2,معالجة!$B$4:$X$4),""))</f>
        <v/>
      </c>
      <c r="K103" s="51" t="str">
        <f>IF(OR(K$2="",COUNT(الرصد!$C103:$Y103)=0),"",IFERROR(SUMIF(معالجة!$B$3:$X$3,K$2,الرصد!$C103:$Y103)/SUMIF(معالجة!$B$3:$X$3,K$2,معالجة!$B$4:$X$4),""))</f>
        <v/>
      </c>
      <c r="L103" s="51" t="str">
        <f>IF(OR(L$2="",COUNT(الرصد!$C103:$Y103)=0),"",IFERROR(SUMIF(معالجة!$B$3:$X$3,L$2,الرصد!$C103:$Y103)/SUMIF(معالجة!$B$3:$X$3,L$2,معالجة!$B$4:$X$4),""))</f>
        <v/>
      </c>
      <c r="M103" s="51" t="str">
        <f>IF(OR(M$2="",COUNT(الرصد!$C103:$Y103)=0),"",IFERROR(SUMIF(معالجة!$B$3:$X$3,M$2,الرصد!$C103:$Y103)/SUMIF(معالجة!$B$3:$X$3,M$2,معالجة!$B$4:$X$4),""))</f>
        <v/>
      </c>
      <c r="N103" s="51" t="str">
        <f>IF(OR(N$2="",COUNT(الرصد!$C103:$Y103)=0),"",IFERROR(SUMIF(معالجة!$B$3:$X$3,N$2,الرصد!$C103:$Y103)/SUMIF(معالجة!$B$3:$X$3,N$2,معالجة!$B$4:$X$4),""))</f>
        <v/>
      </c>
      <c r="O103" s="51" t="str">
        <f>IF(OR(O$2="",COUNT(الرصد!$C103:$Y103)=0),"",IFERROR(SUMIF(معالجة!$B$3:$X$3,O$2,الرصد!$C103:$Y103)/SUMIF(معالجة!$B$3:$X$3,O$2,معالجة!$B$4:$X$4),""))</f>
        <v/>
      </c>
      <c r="P103" s="51" t="str">
        <f>IF(OR(P$2="",COUNT(الرصد!$C103:$Y103)=0),"",IFERROR(SUMIF(معالجة!$B$3:$X$3,P$2,الرصد!$C103:$Y103)/SUMIF(معالجة!$B$3:$X$3,P$2,معالجة!$B$4:$X$4),""))</f>
        <v/>
      </c>
      <c r="Q103" s="51" t="str">
        <f>IF(OR(Q$2="",COUNT(الرصد!$C103:$Y103)=0),"",IFERROR(SUMIF(معالجة!$B$3:$X$3,Q$2,الرصد!$C103:$Y103)/SUMIF(معالجة!$B$3:$X$3,Q$2,معالجة!$B$4:$X$4),""))</f>
        <v/>
      </c>
      <c r="R103" s="51" t="str">
        <f>IF(OR(R$2="",COUNT(الرصد!$C103:$Y103)=0),"",IFERROR(SUMIF(معالجة!$B$3:$X$3,R$2,الرصد!$C103:$Y103)/SUMIF(معالجة!$B$3:$X$3,R$2,معالجة!$B$4:$X$4),""))</f>
        <v/>
      </c>
      <c r="S103" s="51" t="str">
        <f>IF(OR(S$2="",COUNT(الرصد!$C103:$Y103)=0),"",IFERROR(SUMIF(معالجة!$B$3:$X$3,S$2,الرصد!$C103:$Y103)/SUMIF(معالجة!$B$3:$X$3,S$2,معالجة!$B$4:$X$4),""))</f>
        <v/>
      </c>
      <c r="T103" s="51" t="str">
        <f>IF(OR(T$2="",COUNT(الرصد!$C103:$Y103)=0),"",IFERROR(SUMIF(معالجة!$B$3:$X$3,T$2,الرصد!$C103:$Y103)/SUMIF(معالجة!$B$3:$X$3,T$2,معالجة!$B$4:$X$4),""))</f>
        <v/>
      </c>
      <c r="U103" s="51" t="str">
        <f>IF(OR(U$2="",COUNT(الرصد!$C103:$Y103)=0),"",IFERROR(SUMIF(معالجة!$B$3:$X$3,U$2,الرصد!$C103:$Y103)/SUMIF(معالجة!$B$3:$X$3,U$2,معالجة!$B$4:$X$4),""))</f>
        <v/>
      </c>
      <c r="V103" s="51" t="str">
        <f>IF(OR(V$2="",COUNT(الرصد!$C103:$Y103)=0),"",IFERROR(SUMIF(معالجة!$B$3:$X$3,V$2,الرصد!$C103:$Y103)/SUMIF(معالجة!$B$3:$X$3,V$2,معالجة!$B$4:$X$4),""))</f>
        <v/>
      </c>
      <c r="W103" s="51" t="str">
        <f>IFERROR(C103/المهارات!$G$27,"")</f>
        <v/>
      </c>
    </row>
    <row r="104" spans="1:23" ht="14.25" customHeight="1">
      <c r="A104" s="46" t="s">
        <v>173</v>
      </c>
      <c r="B104" s="46" t="s">
        <v>21</v>
      </c>
      <c r="C104" s="52" t="str">
        <f>IF(COUNT(الرصد!C104:Y104)=0,"",SUM(الرصد!C104:Y104))</f>
        <v/>
      </c>
      <c r="D104" s="51" t="str">
        <f>IF(OR(D$2="",COUNT(الرصد!$C104:$Y104)=0),"",IFERROR(SUMIF(معالجة!$B$3:$X$3,D$2,الرصد!$C104:$Y104)/SUMIF(معالجة!$B$3:$X$3,D$2,معالجة!$B$4:$X$4),""))</f>
        <v/>
      </c>
      <c r="E104" s="51" t="str">
        <f>IF(OR(E$2="",COUNT(الرصد!$C104:$Y104)=0),"",IFERROR(SUMIF(معالجة!$B$3:$X$3,E$2,الرصد!$C104:$Y104)/SUMIF(معالجة!$B$3:$X$3,E$2,معالجة!$B$4:$X$4),""))</f>
        <v/>
      </c>
      <c r="F104" s="51" t="str">
        <f>IF(OR(F$2="",COUNT(الرصد!$C104:$Y104)=0),"",IFERROR(SUMIF(معالجة!$B$3:$X$3,F$2,الرصد!$C104:$Y104)/SUMIF(معالجة!$B$3:$X$3,F$2,معالجة!$B$4:$X$4),""))</f>
        <v/>
      </c>
      <c r="G104" s="51" t="str">
        <f>IF(OR(G$2="",COUNT(الرصد!$C104:$Y104)=0),"",IFERROR(SUMIF(معالجة!$B$3:$X$3,G$2,الرصد!$C104:$Y104)/SUMIF(معالجة!$B$3:$X$3,G$2,معالجة!$B$4:$X$4),""))</f>
        <v/>
      </c>
      <c r="H104" s="51" t="str">
        <f>IF(OR(H$2="",COUNT(الرصد!$C104:$Y104)=0),"",IFERROR(SUMIF(معالجة!$B$3:$X$3,H$2,الرصد!$C104:$Y104)/SUMIF(معالجة!$B$3:$X$3,H$2,معالجة!$B$4:$X$4),""))</f>
        <v/>
      </c>
      <c r="I104" s="51" t="str">
        <f>IF(OR(I$2="",COUNT(الرصد!$C104:$Y104)=0),"",IFERROR(SUMIF(معالجة!$B$3:$X$3,I$2,الرصد!$C104:$Y104)/SUMIF(معالجة!$B$3:$X$3,I$2,معالجة!$B$4:$X$4),""))</f>
        <v/>
      </c>
      <c r="J104" s="51" t="str">
        <f>IF(OR(J$2="",COUNT(الرصد!$C104:$Y104)=0),"",IFERROR(SUMIF(معالجة!$B$3:$X$3,J$2,الرصد!$C104:$Y104)/SUMIF(معالجة!$B$3:$X$3,J$2,معالجة!$B$4:$X$4),""))</f>
        <v/>
      </c>
      <c r="K104" s="51" t="str">
        <f>IF(OR(K$2="",COUNT(الرصد!$C104:$Y104)=0),"",IFERROR(SUMIF(معالجة!$B$3:$X$3,K$2,الرصد!$C104:$Y104)/SUMIF(معالجة!$B$3:$X$3,K$2,معالجة!$B$4:$X$4),""))</f>
        <v/>
      </c>
      <c r="L104" s="51" t="str">
        <f>IF(OR(L$2="",COUNT(الرصد!$C104:$Y104)=0),"",IFERROR(SUMIF(معالجة!$B$3:$X$3,L$2,الرصد!$C104:$Y104)/SUMIF(معالجة!$B$3:$X$3,L$2,معالجة!$B$4:$X$4),""))</f>
        <v/>
      </c>
      <c r="M104" s="51" t="str">
        <f>IF(OR(M$2="",COUNT(الرصد!$C104:$Y104)=0),"",IFERROR(SUMIF(معالجة!$B$3:$X$3,M$2,الرصد!$C104:$Y104)/SUMIF(معالجة!$B$3:$X$3,M$2,معالجة!$B$4:$X$4),""))</f>
        <v/>
      </c>
      <c r="N104" s="51" t="str">
        <f>IF(OR(N$2="",COUNT(الرصد!$C104:$Y104)=0),"",IFERROR(SUMIF(معالجة!$B$3:$X$3,N$2,الرصد!$C104:$Y104)/SUMIF(معالجة!$B$3:$X$3,N$2,معالجة!$B$4:$X$4),""))</f>
        <v/>
      </c>
      <c r="O104" s="51" t="str">
        <f>IF(OR(O$2="",COUNT(الرصد!$C104:$Y104)=0),"",IFERROR(SUMIF(معالجة!$B$3:$X$3,O$2,الرصد!$C104:$Y104)/SUMIF(معالجة!$B$3:$X$3,O$2,معالجة!$B$4:$X$4),""))</f>
        <v/>
      </c>
      <c r="P104" s="51" t="str">
        <f>IF(OR(P$2="",COUNT(الرصد!$C104:$Y104)=0),"",IFERROR(SUMIF(معالجة!$B$3:$X$3,P$2,الرصد!$C104:$Y104)/SUMIF(معالجة!$B$3:$X$3,P$2,معالجة!$B$4:$X$4),""))</f>
        <v/>
      </c>
      <c r="Q104" s="51" t="str">
        <f>IF(OR(Q$2="",COUNT(الرصد!$C104:$Y104)=0),"",IFERROR(SUMIF(معالجة!$B$3:$X$3,Q$2,الرصد!$C104:$Y104)/SUMIF(معالجة!$B$3:$X$3,Q$2,معالجة!$B$4:$X$4),""))</f>
        <v/>
      </c>
      <c r="R104" s="51" t="str">
        <f>IF(OR(R$2="",COUNT(الرصد!$C104:$Y104)=0),"",IFERROR(SUMIF(معالجة!$B$3:$X$3,R$2,الرصد!$C104:$Y104)/SUMIF(معالجة!$B$3:$X$3,R$2,معالجة!$B$4:$X$4),""))</f>
        <v/>
      </c>
      <c r="S104" s="51" t="str">
        <f>IF(OR(S$2="",COUNT(الرصد!$C104:$Y104)=0),"",IFERROR(SUMIF(معالجة!$B$3:$X$3,S$2,الرصد!$C104:$Y104)/SUMIF(معالجة!$B$3:$X$3,S$2,معالجة!$B$4:$X$4),""))</f>
        <v/>
      </c>
      <c r="T104" s="51" t="str">
        <f>IF(OR(T$2="",COUNT(الرصد!$C104:$Y104)=0),"",IFERROR(SUMIF(معالجة!$B$3:$X$3,T$2,الرصد!$C104:$Y104)/SUMIF(معالجة!$B$3:$X$3,T$2,معالجة!$B$4:$X$4),""))</f>
        <v/>
      </c>
      <c r="U104" s="51" t="str">
        <f>IF(OR(U$2="",COUNT(الرصد!$C104:$Y104)=0),"",IFERROR(SUMIF(معالجة!$B$3:$X$3,U$2,الرصد!$C104:$Y104)/SUMIF(معالجة!$B$3:$X$3,U$2,معالجة!$B$4:$X$4),""))</f>
        <v/>
      </c>
      <c r="V104" s="51" t="str">
        <f>IF(OR(V$2="",COUNT(الرصد!$C104:$Y104)=0),"",IFERROR(SUMIF(معالجة!$B$3:$X$3,V$2,الرصد!$C104:$Y104)/SUMIF(معالجة!$B$3:$X$3,V$2,معالجة!$B$4:$X$4),""))</f>
        <v/>
      </c>
      <c r="W104" s="51" t="str">
        <f>IFERROR(C104/المهارات!$G$27,"")</f>
        <v/>
      </c>
    </row>
    <row r="105" spans="1:23" ht="14.25" customHeight="1">
      <c r="A105" s="42" t="s">
        <v>174</v>
      </c>
      <c r="B105" s="42" t="s">
        <v>21</v>
      </c>
      <c r="C105" s="50" t="str">
        <f>IF(COUNT(الرصد!C105:Y105)=0,"",SUM(الرصد!C105:Y105))</f>
        <v/>
      </c>
      <c r="D105" s="51" t="str">
        <f>IF(OR(D$2="",COUNT(الرصد!$C105:$Y105)=0),"",IFERROR(SUMIF(معالجة!$B$3:$X$3,D$2,الرصد!$C105:$Y105)/SUMIF(معالجة!$B$3:$X$3,D$2,معالجة!$B$4:$X$4),""))</f>
        <v/>
      </c>
      <c r="E105" s="51" t="str">
        <f>IF(OR(E$2="",COUNT(الرصد!$C105:$Y105)=0),"",IFERROR(SUMIF(معالجة!$B$3:$X$3,E$2,الرصد!$C105:$Y105)/SUMIF(معالجة!$B$3:$X$3,E$2,معالجة!$B$4:$X$4),""))</f>
        <v/>
      </c>
      <c r="F105" s="51" t="str">
        <f>IF(OR(F$2="",COUNT(الرصد!$C105:$Y105)=0),"",IFERROR(SUMIF(معالجة!$B$3:$X$3,F$2,الرصد!$C105:$Y105)/SUMIF(معالجة!$B$3:$X$3,F$2,معالجة!$B$4:$X$4),""))</f>
        <v/>
      </c>
      <c r="G105" s="51" t="str">
        <f>IF(OR(G$2="",COUNT(الرصد!$C105:$Y105)=0),"",IFERROR(SUMIF(معالجة!$B$3:$X$3,G$2,الرصد!$C105:$Y105)/SUMIF(معالجة!$B$3:$X$3,G$2,معالجة!$B$4:$X$4),""))</f>
        <v/>
      </c>
      <c r="H105" s="51" t="str">
        <f>IF(OR(H$2="",COUNT(الرصد!$C105:$Y105)=0),"",IFERROR(SUMIF(معالجة!$B$3:$X$3,H$2,الرصد!$C105:$Y105)/SUMIF(معالجة!$B$3:$X$3,H$2,معالجة!$B$4:$X$4),""))</f>
        <v/>
      </c>
      <c r="I105" s="51" t="str">
        <f>IF(OR(I$2="",COUNT(الرصد!$C105:$Y105)=0),"",IFERROR(SUMIF(معالجة!$B$3:$X$3,I$2,الرصد!$C105:$Y105)/SUMIF(معالجة!$B$3:$X$3,I$2,معالجة!$B$4:$X$4),""))</f>
        <v/>
      </c>
      <c r="J105" s="51" t="str">
        <f>IF(OR(J$2="",COUNT(الرصد!$C105:$Y105)=0),"",IFERROR(SUMIF(معالجة!$B$3:$X$3,J$2,الرصد!$C105:$Y105)/SUMIF(معالجة!$B$3:$X$3,J$2,معالجة!$B$4:$X$4),""))</f>
        <v/>
      </c>
      <c r="K105" s="51" t="str">
        <f>IF(OR(K$2="",COUNT(الرصد!$C105:$Y105)=0),"",IFERROR(SUMIF(معالجة!$B$3:$X$3,K$2,الرصد!$C105:$Y105)/SUMIF(معالجة!$B$3:$X$3,K$2,معالجة!$B$4:$X$4),""))</f>
        <v/>
      </c>
      <c r="L105" s="51" t="str">
        <f>IF(OR(L$2="",COUNT(الرصد!$C105:$Y105)=0),"",IFERROR(SUMIF(معالجة!$B$3:$X$3,L$2,الرصد!$C105:$Y105)/SUMIF(معالجة!$B$3:$X$3,L$2,معالجة!$B$4:$X$4),""))</f>
        <v/>
      </c>
      <c r="M105" s="51" t="str">
        <f>IF(OR(M$2="",COUNT(الرصد!$C105:$Y105)=0),"",IFERROR(SUMIF(معالجة!$B$3:$X$3,M$2,الرصد!$C105:$Y105)/SUMIF(معالجة!$B$3:$X$3,M$2,معالجة!$B$4:$X$4),""))</f>
        <v/>
      </c>
      <c r="N105" s="51" t="str">
        <f>IF(OR(N$2="",COUNT(الرصد!$C105:$Y105)=0),"",IFERROR(SUMIF(معالجة!$B$3:$X$3,N$2,الرصد!$C105:$Y105)/SUMIF(معالجة!$B$3:$X$3,N$2,معالجة!$B$4:$X$4),""))</f>
        <v/>
      </c>
      <c r="O105" s="51" t="str">
        <f>IF(OR(O$2="",COUNT(الرصد!$C105:$Y105)=0),"",IFERROR(SUMIF(معالجة!$B$3:$X$3,O$2,الرصد!$C105:$Y105)/SUMIF(معالجة!$B$3:$X$3,O$2,معالجة!$B$4:$X$4),""))</f>
        <v/>
      </c>
      <c r="P105" s="51" t="str">
        <f>IF(OR(P$2="",COUNT(الرصد!$C105:$Y105)=0),"",IFERROR(SUMIF(معالجة!$B$3:$X$3,P$2,الرصد!$C105:$Y105)/SUMIF(معالجة!$B$3:$X$3,P$2,معالجة!$B$4:$X$4),""))</f>
        <v/>
      </c>
      <c r="Q105" s="51" t="str">
        <f>IF(OR(Q$2="",COUNT(الرصد!$C105:$Y105)=0),"",IFERROR(SUMIF(معالجة!$B$3:$X$3,Q$2,الرصد!$C105:$Y105)/SUMIF(معالجة!$B$3:$X$3,Q$2,معالجة!$B$4:$X$4),""))</f>
        <v/>
      </c>
      <c r="R105" s="51" t="str">
        <f>IF(OR(R$2="",COUNT(الرصد!$C105:$Y105)=0),"",IFERROR(SUMIF(معالجة!$B$3:$X$3,R$2,الرصد!$C105:$Y105)/SUMIF(معالجة!$B$3:$X$3,R$2,معالجة!$B$4:$X$4),""))</f>
        <v/>
      </c>
      <c r="S105" s="51" t="str">
        <f>IF(OR(S$2="",COUNT(الرصد!$C105:$Y105)=0),"",IFERROR(SUMIF(معالجة!$B$3:$X$3,S$2,الرصد!$C105:$Y105)/SUMIF(معالجة!$B$3:$X$3,S$2,معالجة!$B$4:$X$4),""))</f>
        <v/>
      </c>
      <c r="T105" s="51" t="str">
        <f>IF(OR(T$2="",COUNT(الرصد!$C105:$Y105)=0),"",IFERROR(SUMIF(معالجة!$B$3:$X$3,T$2,الرصد!$C105:$Y105)/SUMIF(معالجة!$B$3:$X$3,T$2,معالجة!$B$4:$X$4),""))</f>
        <v/>
      </c>
      <c r="U105" s="51" t="str">
        <f>IF(OR(U$2="",COUNT(الرصد!$C105:$Y105)=0),"",IFERROR(SUMIF(معالجة!$B$3:$X$3,U$2,الرصد!$C105:$Y105)/SUMIF(معالجة!$B$3:$X$3,U$2,معالجة!$B$4:$X$4),""))</f>
        <v/>
      </c>
      <c r="V105" s="51" t="str">
        <f>IF(OR(V$2="",COUNT(الرصد!$C105:$Y105)=0),"",IFERROR(SUMIF(معالجة!$B$3:$X$3,V$2,الرصد!$C105:$Y105)/SUMIF(معالجة!$B$3:$X$3,V$2,معالجة!$B$4:$X$4),""))</f>
        <v/>
      </c>
      <c r="W105" s="51" t="str">
        <f>IFERROR(C105/المهارات!$G$27,"")</f>
        <v/>
      </c>
    </row>
    <row r="106" spans="1:23" ht="14.25" customHeight="1">
      <c r="A106" s="46" t="s">
        <v>175</v>
      </c>
      <c r="B106" s="46" t="s">
        <v>21</v>
      </c>
      <c r="C106" s="52" t="str">
        <f>IF(COUNT(الرصد!C106:Y106)=0,"",SUM(الرصد!C106:Y106))</f>
        <v/>
      </c>
      <c r="D106" s="51" t="str">
        <f>IF(OR(D$2="",COUNT(الرصد!$C106:$Y106)=0),"",IFERROR(SUMIF(معالجة!$B$3:$X$3,D$2,الرصد!$C106:$Y106)/SUMIF(معالجة!$B$3:$X$3,D$2,معالجة!$B$4:$X$4),""))</f>
        <v/>
      </c>
      <c r="E106" s="51" t="str">
        <f>IF(OR(E$2="",COUNT(الرصد!$C106:$Y106)=0),"",IFERROR(SUMIF(معالجة!$B$3:$X$3,E$2,الرصد!$C106:$Y106)/SUMIF(معالجة!$B$3:$X$3,E$2,معالجة!$B$4:$X$4),""))</f>
        <v/>
      </c>
      <c r="F106" s="51" t="str">
        <f>IF(OR(F$2="",COUNT(الرصد!$C106:$Y106)=0),"",IFERROR(SUMIF(معالجة!$B$3:$X$3,F$2,الرصد!$C106:$Y106)/SUMIF(معالجة!$B$3:$X$3,F$2,معالجة!$B$4:$X$4),""))</f>
        <v/>
      </c>
      <c r="G106" s="51" t="str">
        <f>IF(OR(G$2="",COUNT(الرصد!$C106:$Y106)=0),"",IFERROR(SUMIF(معالجة!$B$3:$X$3,G$2,الرصد!$C106:$Y106)/SUMIF(معالجة!$B$3:$X$3,G$2,معالجة!$B$4:$X$4),""))</f>
        <v/>
      </c>
      <c r="H106" s="51" t="str">
        <f>IF(OR(H$2="",COUNT(الرصد!$C106:$Y106)=0),"",IFERROR(SUMIF(معالجة!$B$3:$X$3,H$2,الرصد!$C106:$Y106)/SUMIF(معالجة!$B$3:$X$3,H$2,معالجة!$B$4:$X$4),""))</f>
        <v/>
      </c>
      <c r="I106" s="51" t="str">
        <f>IF(OR(I$2="",COUNT(الرصد!$C106:$Y106)=0),"",IFERROR(SUMIF(معالجة!$B$3:$X$3,I$2,الرصد!$C106:$Y106)/SUMIF(معالجة!$B$3:$X$3,I$2,معالجة!$B$4:$X$4),""))</f>
        <v/>
      </c>
      <c r="J106" s="51" t="str">
        <f>IF(OR(J$2="",COUNT(الرصد!$C106:$Y106)=0),"",IFERROR(SUMIF(معالجة!$B$3:$X$3,J$2,الرصد!$C106:$Y106)/SUMIF(معالجة!$B$3:$X$3,J$2,معالجة!$B$4:$X$4),""))</f>
        <v/>
      </c>
      <c r="K106" s="51" t="str">
        <f>IF(OR(K$2="",COUNT(الرصد!$C106:$Y106)=0),"",IFERROR(SUMIF(معالجة!$B$3:$X$3,K$2,الرصد!$C106:$Y106)/SUMIF(معالجة!$B$3:$X$3,K$2,معالجة!$B$4:$X$4),""))</f>
        <v/>
      </c>
      <c r="L106" s="51" t="str">
        <f>IF(OR(L$2="",COUNT(الرصد!$C106:$Y106)=0),"",IFERROR(SUMIF(معالجة!$B$3:$X$3,L$2,الرصد!$C106:$Y106)/SUMIF(معالجة!$B$3:$X$3,L$2,معالجة!$B$4:$X$4),""))</f>
        <v/>
      </c>
      <c r="M106" s="51" t="str">
        <f>IF(OR(M$2="",COUNT(الرصد!$C106:$Y106)=0),"",IFERROR(SUMIF(معالجة!$B$3:$X$3,M$2,الرصد!$C106:$Y106)/SUMIF(معالجة!$B$3:$X$3,M$2,معالجة!$B$4:$X$4),""))</f>
        <v/>
      </c>
      <c r="N106" s="51" t="str">
        <f>IF(OR(N$2="",COUNT(الرصد!$C106:$Y106)=0),"",IFERROR(SUMIF(معالجة!$B$3:$X$3,N$2,الرصد!$C106:$Y106)/SUMIF(معالجة!$B$3:$X$3,N$2,معالجة!$B$4:$X$4),""))</f>
        <v/>
      </c>
      <c r="O106" s="51" t="str">
        <f>IF(OR(O$2="",COUNT(الرصد!$C106:$Y106)=0),"",IFERROR(SUMIF(معالجة!$B$3:$X$3,O$2,الرصد!$C106:$Y106)/SUMIF(معالجة!$B$3:$X$3,O$2,معالجة!$B$4:$X$4),""))</f>
        <v/>
      </c>
      <c r="P106" s="51" t="str">
        <f>IF(OR(P$2="",COUNT(الرصد!$C106:$Y106)=0),"",IFERROR(SUMIF(معالجة!$B$3:$X$3,P$2,الرصد!$C106:$Y106)/SUMIF(معالجة!$B$3:$X$3,P$2,معالجة!$B$4:$X$4),""))</f>
        <v/>
      </c>
      <c r="Q106" s="51" t="str">
        <f>IF(OR(Q$2="",COUNT(الرصد!$C106:$Y106)=0),"",IFERROR(SUMIF(معالجة!$B$3:$X$3,Q$2,الرصد!$C106:$Y106)/SUMIF(معالجة!$B$3:$X$3,Q$2,معالجة!$B$4:$X$4),""))</f>
        <v/>
      </c>
      <c r="R106" s="51" t="str">
        <f>IF(OR(R$2="",COUNT(الرصد!$C106:$Y106)=0),"",IFERROR(SUMIF(معالجة!$B$3:$X$3,R$2,الرصد!$C106:$Y106)/SUMIF(معالجة!$B$3:$X$3,R$2,معالجة!$B$4:$X$4),""))</f>
        <v/>
      </c>
      <c r="S106" s="51" t="str">
        <f>IF(OR(S$2="",COUNT(الرصد!$C106:$Y106)=0),"",IFERROR(SUMIF(معالجة!$B$3:$X$3,S$2,الرصد!$C106:$Y106)/SUMIF(معالجة!$B$3:$X$3,S$2,معالجة!$B$4:$X$4),""))</f>
        <v/>
      </c>
      <c r="T106" s="51" t="str">
        <f>IF(OR(T$2="",COUNT(الرصد!$C106:$Y106)=0),"",IFERROR(SUMIF(معالجة!$B$3:$X$3,T$2,الرصد!$C106:$Y106)/SUMIF(معالجة!$B$3:$X$3,T$2,معالجة!$B$4:$X$4),""))</f>
        <v/>
      </c>
      <c r="U106" s="51" t="str">
        <f>IF(OR(U$2="",COUNT(الرصد!$C106:$Y106)=0),"",IFERROR(SUMIF(معالجة!$B$3:$X$3,U$2,الرصد!$C106:$Y106)/SUMIF(معالجة!$B$3:$X$3,U$2,معالجة!$B$4:$X$4),""))</f>
        <v/>
      </c>
      <c r="V106" s="51" t="str">
        <f>IF(OR(V$2="",COUNT(الرصد!$C106:$Y106)=0),"",IFERROR(SUMIF(معالجة!$B$3:$X$3,V$2,الرصد!$C106:$Y106)/SUMIF(معالجة!$B$3:$X$3,V$2,معالجة!$B$4:$X$4),""))</f>
        <v/>
      </c>
      <c r="W106" s="51" t="str">
        <f>IFERROR(C106/المهارات!$G$27,"")</f>
        <v/>
      </c>
    </row>
    <row r="107" spans="1:23" ht="14.25" customHeight="1">
      <c r="A107" s="42" t="s">
        <v>176</v>
      </c>
      <c r="B107" s="42" t="s">
        <v>21</v>
      </c>
      <c r="C107" s="50" t="str">
        <f>IF(COUNT(الرصد!C107:Y107)=0,"",SUM(الرصد!C107:Y107))</f>
        <v/>
      </c>
      <c r="D107" s="51" t="str">
        <f>IF(OR(D$2="",COUNT(الرصد!$C107:$Y107)=0),"",IFERROR(SUMIF(معالجة!$B$3:$X$3,D$2,الرصد!$C107:$Y107)/SUMIF(معالجة!$B$3:$X$3,D$2,معالجة!$B$4:$X$4),""))</f>
        <v/>
      </c>
      <c r="E107" s="51" t="str">
        <f>IF(OR(E$2="",COUNT(الرصد!$C107:$Y107)=0),"",IFERROR(SUMIF(معالجة!$B$3:$X$3,E$2,الرصد!$C107:$Y107)/SUMIF(معالجة!$B$3:$X$3,E$2,معالجة!$B$4:$X$4),""))</f>
        <v/>
      </c>
      <c r="F107" s="51" t="str">
        <f>IF(OR(F$2="",COUNT(الرصد!$C107:$Y107)=0),"",IFERROR(SUMIF(معالجة!$B$3:$X$3,F$2,الرصد!$C107:$Y107)/SUMIF(معالجة!$B$3:$X$3,F$2,معالجة!$B$4:$X$4),""))</f>
        <v/>
      </c>
      <c r="G107" s="51" t="str">
        <f>IF(OR(G$2="",COUNT(الرصد!$C107:$Y107)=0),"",IFERROR(SUMIF(معالجة!$B$3:$X$3,G$2,الرصد!$C107:$Y107)/SUMIF(معالجة!$B$3:$X$3,G$2,معالجة!$B$4:$X$4),""))</f>
        <v/>
      </c>
      <c r="H107" s="51" t="str">
        <f>IF(OR(H$2="",COUNT(الرصد!$C107:$Y107)=0),"",IFERROR(SUMIF(معالجة!$B$3:$X$3,H$2,الرصد!$C107:$Y107)/SUMIF(معالجة!$B$3:$X$3,H$2,معالجة!$B$4:$X$4),""))</f>
        <v/>
      </c>
      <c r="I107" s="51" t="str">
        <f>IF(OR(I$2="",COUNT(الرصد!$C107:$Y107)=0),"",IFERROR(SUMIF(معالجة!$B$3:$X$3,I$2,الرصد!$C107:$Y107)/SUMIF(معالجة!$B$3:$X$3,I$2,معالجة!$B$4:$X$4),""))</f>
        <v/>
      </c>
      <c r="J107" s="51" t="str">
        <f>IF(OR(J$2="",COUNT(الرصد!$C107:$Y107)=0),"",IFERROR(SUMIF(معالجة!$B$3:$X$3,J$2,الرصد!$C107:$Y107)/SUMIF(معالجة!$B$3:$X$3,J$2,معالجة!$B$4:$X$4),""))</f>
        <v/>
      </c>
      <c r="K107" s="51" t="str">
        <f>IF(OR(K$2="",COUNT(الرصد!$C107:$Y107)=0),"",IFERROR(SUMIF(معالجة!$B$3:$X$3,K$2,الرصد!$C107:$Y107)/SUMIF(معالجة!$B$3:$X$3,K$2,معالجة!$B$4:$X$4),""))</f>
        <v/>
      </c>
      <c r="L107" s="51" t="str">
        <f>IF(OR(L$2="",COUNT(الرصد!$C107:$Y107)=0),"",IFERROR(SUMIF(معالجة!$B$3:$X$3,L$2,الرصد!$C107:$Y107)/SUMIF(معالجة!$B$3:$X$3,L$2,معالجة!$B$4:$X$4),""))</f>
        <v/>
      </c>
      <c r="M107" s="51" t="str">
        <f>IF(OR(M$2="",COUNT(الرصد!$C107:$Y107)=0),"",IFERROR(SUMIF(معالجة!$B$3:$X$3,M$2,الرصد!$C107:$Y107)/SUMIF(معالجة!$B$3:$X$3,M$2,معالجة!$B$4:$X$4),""))</f>
        <v/>
      </c>
      <c r="N107" s="51" t="str">
        <f>IF(OR(N$2="",COUNT(الرصد!$C107:$Y107)=0),"",IFERROR(SUMIF(معالجة!$B$3:$X$3,N$2,الرصد!$C107:$Y107)/SUMIF(معالجة!$B$3:$X$3,N$2,معالجة!$B$4:$X$4),""))</f>
        <v/>
      </c>
      <c r="O107" s="51" t="str">
        <f>IF(OR(O$2="",COUNT(الرصد!$C107:$Y107)=0),"",IFERROR(SUMIF(معالجة!$B$3:$X$3,O$2,الرصد!$C107:$Y107)/SUMIF(معالجة!$B$3:$X$3,O$2,معالجة!$B$4:$X$4),""))</f>
        <v/>
      </c>
      <c r="P107" s="51" t="str">
        <f>IF(OR(P$2="",COUNT(الرصد!$C107:$Y107)=0),"",IFERROR(SUMIF(معالجة!$B$3:$X$3,P$2,الرصد!$C107:$Y107)/SUMIF(معالجة!$B$3:$X$3,P$2,معالجة!$B$4:$X$4),""))</f>
        <v/>
      </c>
      <c r="Q107" s="51" t="str">
        <f>IF(OR(Q$2="",COUNT(الرصد!$C107:$Y107)=0),"",IFERROR(SUMIF(معالجة!$B$3:$X$3,Q$2,الرصد!$C107:$Y107)/SUMIF(معالجة!$B$3:$X$3,Q$2,معالجة!$B$4:$X$4),""))</f>
        <v/>
      </c>
      <c r="R107" s="51" t="str">
        <f>IF(OR(R$2="",COUNT(الرصد!$C107:$Y107)=0),"",IFERROR(SUMIF(معالجة!$B$3:$X$3,R$2,الرصد!$C107:$Y107)/SUMIF(معالجة!$B$3:$X$3,R$2,معالجة!$B$4:$X$4),""))</f>
        <v/>
      </c>
      <c r="S107" s="51" t="str">
        <f>IF(OR(S$2="",COUNT(الرصد!$C107:$Y107)=0),"",IFERROR(SUMIF(معالجة!$B$3:$X$3,S$2,الرصد!$C107:$Y107)/SUMIF(معالجة!$B$3:$X$3,S$2,معالجة!$B$4:$X$4),""))</f>
        <v/>
      </c>
      <c r="T107" s="51" t="str">
        <f>IF(OR(T$2="",COUNT(الرصد!$C107:$Y107)=0),"",IFERROR(SUMIF(معالجة!$B$3:$X$3,T$2,الرصد!$C107:$Y107)/SUMIF(معالجة!$B$3:$X$3,T$2,معالجة!$B$4:$X$4),""))</f>
        <v/>
      </c>
      <c r="U107" s="51" t="str">
        <f>IF(OR(U$2="",COUNT(الرصد!$C107:$Y107)=0),"",IFERROR(SUMIF(معالجة!$B$3:$X$3,U$2,الرصد!$C107:$Y107)/SUMIF(معالجة!$B$3:$X$3,U$2,معالجة!$B$4:$X$4),""))</f>
        <v/>
      </c>
      <c r="V107" s="51" t="str">
        <f>IF(OR(V$2="",COUNT(الرصد!$C107:$Y107)=0),"",IFERROR(SUMIF(معالجة!$B$3:$X$3,V$2,الرصد!$C107:$Y107)/SUMIF(معالجة!$B$3:$X$3,V$2,معالجة!$B$4:$X$4),""))</f>
        <v/>
      </c>
      <c r="W107" s="51" t="str">
        <f>IFERROR(C107/المهارات!$G$27,"")</f>
        <v/>
      </c>
    </row>
    <row r="108" spans="1:23" ht="14.25" customHeight="1">
      <c r="A108" s="46" t="s">
        <v>177</v>
      </c>
      <c r="B108" s="46" t="s">
        <v>21</v>
      </c>
      <c r="C108" s="52" t="str">
        <f>IF(COUNT(الرصد!C108:Y108)=0,"",SUM(الرصد!C108:Y108))</f>
        <v/>
      </c>
      <c r="D108" s="51" t="str">
        <f>IF(OR(D$2="",COUNT(الرصد!$C108:$Y108)=0),"",IFERROR(SUMIF(معالجة!$B$3:$X$3,D$2,الرصد!$C108:$Y108)/SUMIF(معالجة!$B$3:$X$3,D$2,معالجة!$B$4:$X$4),""))</f>
        <v/>
      </c>
      <c r="E108" s="51" t="str">
        <f>IF(OR(E$2="",COUNT(الرصد!$C108:$Y108)=0),"",IFERROR(SUMIF(معالجة!$B$3:$X$3,E$2,الرصد!$C108:$Y108)/SUMIF(معالجة!$B$3:$X$3,E$2,معالجة!$B$4:$X$4),""))</f>
        <v/>
      </c>
      <c r="F108" s="51" t="str">
        <f>IF(OR(F$2="",COUNT(الرصد!$C108:$Y108)=0),"",IFERROR(SUMIF(معالجة!$B$3:$X$3,F$2,الرصد!$C108:$Y108)/SUMIF(معالجة!$B$3:$X$3,F$2,معالجة!$B$4:$X$4),""))</f>
        <v/>
      </c>
      <c r="G108" s="51" t="str">
        <f>IF(OR(G$2="",COUNT(الرصد!$C108:$Y108)=0),"",IFERROR(SUMIF(معالجة!$B$3:$X$3,G$2,الرصد!$C108:$Y108)/SUMIF(معالجة!$B$3:$X$3,G$2,معالجة!$B$4:$X$4),""))</f>
        <v/>
      </c>
      <c r="H108" s="51" t="str">
        <f>IF(OR(H$2="",COUNT(الرصد!$C108:$Y108)=0),"",IFERROR(SUMIF(معالجة!$B$3:$X$3,H$2,الرصد!$C108:$Y108)/SUMIF(معالجة!$B$3:$X$3,H$2,معالجة!$B$4:$X$4),""))</f>
        <v/>
      </c>
      <c r="I108" s="51" t="str">
        <f>IF(OR(I$2="",COUNT(الرصد!$C108:$Y108)=0),"",IFERROR(SUMIF(معالجة!$B$3:$X$3,I$2,الرصد!$C108:$Y108)/SUMIF(معالجة!$B$3:$X$3,I$2,معالجة!$B$4:$X$4),""))</f>
        <v/>
      </c>
      <c r="J108" s="51" t="str">
        <f>IF(OR(J$2="",COUNT(الرصد!$C108:$Y108)=0),"",IFERROR(SUMIF(معالجة!$B$3:$X$3,J$2,الرصد!$C108:$Y108)/SUMIF(معالجة!$B$3:$X$3,J$2,معالجة!$B$4:$X$4),""))</f>
        <v/>
      </c>
      <c r="K108" s="51" t="str">
        <f>IF(OR(K$2="",COUNT(الرصد!$C108:$Y108)=0),"",IFERROR(SUMIF(معالجة!$B$3:$X$3,K$2,الرصد!$C108:$Y108)/SUMIF(معالجة!$B$3:$X$3,K$2,معالجة!$B$4:$X$4),""))</f>
        <v/>
      </c>
      <c r="L108" s="51" t="str">
        <f>IF(OR(L$2="",COUNT(الرصد!$C108:$Y108)=0),"",IFERROR(SUMIF(معالجة!$B$3:$X$3,L$2,الرصد!$C108:$Y108)/SUMIF(معالجة!$B$3:$X$3,L$2,معالجة!$B$4:$X$4),""))</f>
        <v/>
      </c>
      <c r="M108" s="51" t="str">
        <f>IF(OR(M$2="",COUNT(الرصد!$C108:$Y108)=0),"",IFERROR(SUMIF(معالجة!$B$3:$X$3,M$2,الرصد!$C108:$Y108)/SUMIF(معالجة!$B$3:$X$3,M$2,معالجة!$B$4:$X$4),""))</f>
        <v/>
      </c>
      <c r="N108" s="51" t="str">
        <f>IF(OR(N$2="",COUNT(الرصد!$C108:$Y108)=0),"",IFERROR(SUMIF(معالجة!$B$3:$X$3,N$2,الرصد!$C108:$Y108)/SUMIF(معالجة!$B$3:$X$3,N$2,معالجة!$B$4:$X$4),""))</f>
        <v/>
      </c>
      <c r="O108" s="51" t="str">
        <f>IF(OR(O$2="",COUNT(الرصد!$C108:$Y108)=0),"",IFERROR(SUMIF(معالجة!$B$3:$X$3,O$2,الرصد!$C108:$Y108)/SUMIF(معالجة!$B$3:$X$3,O$2,معالجة!$B$4:$X$4),""))</f>
        <v/>
      </c>
      <c r="P108" s="51" t="str">
        <f>IF(OR(P$2="",COUNT(الرصد!$C108:$Y108)=0),"",IFERROR(SUMIF(معالجة!$B$3:$X$3,P$2,الرصد!$C108:$Y108)/SUMIF(معالجة!$B$3:$X$3,P$2,معالجة!$B$4:$X$4),""))</f>
        <v/>
      </c>
      <c r="Q108" s="51" t="str">
        <f>IF(OR(Q$2="",COUNT(الرصد!$C108:$Y108)=0),"",IFERROR(SUMIF(معالجة!$B$3:$X$3,Q$2,الرصد!$C108:$Y108)/SUMIF(معالجة!$B$3:$X$3,Q$2,معالجة!$B$4:$X$4),""))</f>
        <v/>
      </c>
      <c r="R108" s="51" t="str">
        <f>IF(OR(R$2="",COUNT(الرصد!$C108:$Y108)=0),"",IFERROR(SUMIF(معالجة!$B$3:$X$3,R$2,الرصد!$C108:$Y108)/SUMIF(معالجة!$B$3:$X$3,R$2,معالجة!$B$4:$X$4),""))</f>
        <v/>
      </c>
      <c r="S108" s="51" t="str">
        <f>IF(OR(S$2="",COUNT(الرصد!$C108:$Y108)=0),"",IFERROR(SUMIF(معالجة!$B$3:$X$3,S$2,الرصد!$C108:$Y108)/SUMIF(معالجة!$B$3:$X$3,S$2,معالجة!$B$4:$X$4),""))</f>
        <v/>
      </c>
      <c r="T108" s="51" t="str">
        <f>IF(OR(T$2="",COUNT(الرصد!$C108:$Y108)=0),"",IFERROR(SUMIF(معالجة!$B$3:$X$3,T$2,الرصد!$C108:$Y108)/SUMIF(معالجة!$B$3:$X$3,T$2,معالجة!$B$4:$X$4),""))</f>
        <v/>
      </c>
      <c r="U108" s="51" t="str">
        <f>IF(OR(U$2="",COUNT(الرصد!$C108:$Y108)=0),"",IFERROR(SUMIF(معالجة!$B$3:$X$3,U$2,الرصد!$C108:$Y108)/SUMIF(معالجة!$B$3:$X$3,U$2,معالجة!$B$4:$X$4),""))</f>
        <v/>
      </c>
      <c r="V108" s="51" t="str">
        <f>IF(OR(V$2="",COUNT(الرصد!$C108:$Y108)=0),"",IFERROR(SUMIF(معالجة!$B$3:$X$3,V$2,الرصد!$C108:$Y108)/SUMIF(معالجة!$B$3:$X$3,V$2,معالجة!$B$4:$X$4),""))</f>
        <v/>
      </c>
      <c r="W108" s="51" t="str">
        <f>IFERROR(C108/المهارات!$G$27,"")</f>
        <v/>
      </c>
    </row>
    <row r="109" spans="1:23" ht="14.25" customHeight="1">
      <c r="A109" s="42" t="s">
        <v>178</v>
      </c>
      <c r="B109" s="42" t="s">
        <v>21</v>
      </c>
      <c r="C109" s="50" t="str">
        <f>IF(COUNT(الرصد!C109:Y109)=0,"",SUM(الرصد!C109:Y109))</f>
        <v/>
      </c>
      <c r="D109" s="51" t="str">
        <f>IF(OR(D$2="",COUNT(الرصد!$C109:$Y109)=0),"",IFERROR(SUMIF(معالجة!$B$3:$X$3,D$2,الرصد!$C109:$Y109)/SUMIF(معالجة!$B$3:$X$3,D$2,معالجة!$B$4:$X$4),""))</f>
        <v/>
      </c>
      <c r="E109" s="51" t="str">
        <f>IF(OR(E$2="",COUNT(الرصد!$C109:$Y109)=0),"",IFERROR(SUMIF(معالجة!$B$3:$X$3,E$2,الرصد!$C109:$Y109)/SUMIF(معالجة!$B$3:$X$3,E$2,معالجة!$B$4:$X$4),""))</f>
        <v/>
      </c>
      <c r="F109" s="51" t="str">
        <f>IF(OR(F$2="",COUNT(الرصد!$C109:$Y109)=0),"",IFERROR(SUMIF(معالجة!$B$3:$X$3,F$2,الرصد!$C109:$Y109)/SUMIF(معالجة!$B$3:$X$3,F$2,معالجة!$B$4:$X$4),""))</f>
        <v/>
      </c>
      <c r="G109" s="51" t="str">
        <f>IF(OR(G$2="",COUNT(الرصد!$C109:$Y109)=0),"",IFERROR(SUMIF(معالجة!$B$3:$X$3,G$2,الرصد!$C109:$Y109)/SUMIF(معالجة!$B$3:$X$3,G$2,معالجة!$B$4:$X$4),""))</f>
        <v/>
      </c>
      <c r="H109" s="51" t="str">
        <f>IF(OR(H$2="",COUNT(الرصد!$C109:$Y109)=0),"",IFERROR(SUMIF(معالجة!$B$3:$X$3,H$2,الرصد!$C109:$Y109)/SUMIF(معالجة!$B$3:$X$3,H$2,معالجة!$B$4:$X$4),""))</f>
        <v/>
      </c>
      <c r="I109" s="51" t="str">
        <f>IF(OR(I$2="",COUNT(الرصد!$C109:$Y109)=0),"",IFERROR(SUMIF(معالجة!$B$3:$X$3,I$2,الرصد!$C109:$Y109)/SUMIF(معالجة!$B$3:$X$3,I$2,معالجة!$B$4:$X$4),""))</f>
        <v/>
      </c>
      <c r="J109" s="51" t="str">
        <f>IF(OR(J$2="",COUNT(الرصد!$C109:$Y109)=0),"",IFERROR(SUMIF(معالجة!$B$3:$X$3,J$2,الرصد!$C109:$Y109)/SUMIF(معالجة!$B$3:$X$3,J$2,معالجة!$B$4:$X$4),""))</f>
        <v/>
      </c>
      <c r="K109" s="51" t="str">
        <f>IF(OR(K$2="",COUNT(الرصد!$C109:$Y109)=0),"",IFERROR(SUMIF(معالجة!$B$3:$X$3,K$2,الرصد!$C109:$Y109)/SUMIF(معالجة!$B$3:$X$3,K$2,معالجة!$B$4:$X$4),""))</f>
        <v/>
      </c>
      <c r="L109" s="51" t="str">
        <f>IF(OR(L$2="",COUNT(الرصد!$C109:$Y109)=0),"",IFERROR(SUMIF(معالجة!$B$3:$X$3,L$2,الرصد!$C109:$Y109)/SUMIF(معالجة!$B$3:$X$3,L$2,معالجة!$B$4:$X$4),""))</f>
        <v/>
      </c>
      <c r="M109" s="51" t="str">
        <f>IF(OR(M$2="",COUNT(الرصد!$C109:$Y109)=0),"",IFERROR(SUMIF(معالجة!$B$3:$X$3,M$2,الرصد!$C109:$Y109)/SUMIF(معالجة!$B$3:$X$3,M$2,معالجة!$B$4:$X$4),""))</f>
        <v/>
      </c>
      <c r="N109" s="51" t="str">
        <f>IF(OR(N$2="",COUNT(الرصد!$C109:$Y109)=0),"",IFERROR(SUMIF(معالجة!$B$3:$X$3,N$2,الرصد!$C109:$Y109)/SUMIF(معالجة!$B$3:$X$3,N$2,معالجة!$B$4:$X$4),""))</f>
        <v/>
      </c>
      <c r="O109" s="51" t="str">
        <f>IF(OR(O$2="",COUNT(الرصد!$C109:$Y109)=0),"",IFERROR(SUMIF(معالجة!$B$3:$X$3,O$2,الرصد!$C109:$Y109)/SUMIF(معالجة!$B$3:$X$3,O$2,معالجة!$B$4:$X$4),""))</f>
        <v/>
      </c>
      <c r="P109" s="51" t="str">
        <f>IF(OR(P$2="",COUNT(الرصد!$C109:$Y109)=0),"",IFERROR(SUMIF(معالجة!$B$3:$X$3,P$2,الرصد!$C109:$Y109)/SUMIF(معالجة!$B$3:$X$3,P$2,معالجة!$B$4:$X$4),""))</f>
        <v/>
      </c>
      <c r="Q109" s="51" t="str">
        <f>IF(OR(Q$2="",COUNT(الرصد!$C109:$Y109)=0),"",IFERROR(SUMIF(معالجة!$B$3:$X$3,Q$2,الرصد!$C109:$Y109)/SUMIF(معالجة!$B$3:$X$3,Q$2,معالجة!$B$4:$X$4),""))</f>
        <v/>
      </c>
      <c r="R109" s="51" t="str">
        <f>IF(OR(R$2="",COUNT(الرصد!$C109:$Y109)=0),"",IFERROR(SUMIF(معالجة!$B$3:$X$3,R$2,الرصد!$C109:$Y109)/SUMIF(معالجة!$B$3:$X$3,R$2,معالجة!$B$4:$X$4),""))</f>
        <v/>
      </c>
      <c r="S109" s="51" t="str">
        <f>IF(OR(S$2="",COUNT(الرصد!$C109:$Y109)=0),"",IFERROR(SUMIF(معالجة!$B$3:$X$3,S$2,الرصد!$C109:$Y109)/SUMIF(معالجة!$B$3:$X$3,S$2,معالجة!$B$4:$X$4),""))</f>
        <v/>
      </c>
      <c r="T109" s="51" t="str">
        <f>IF(OR(T$2="",COUNT(الرصد!$C109:$Y109)=0),"",IFERROR(SUMIF(معالجة!$B$3:$X$3,T$2,الرصد!$C109:$Y109)/SUMIF(معالجة!$B$3:$X$3,T$2,معالجة!$B$4:$X$4),""))</f>
        <v/>
      </c>
      <c r="U109" s="51" t="str">
        <f>IF(OR(U$2="",COUNT(الرصد!$C109:$Y109)=0),"",IFERROR(SUMIF(معالجة!$B$3:$X$3,U$2,الرصد!$C109:$Y109)/SUMIF(معالجة!$B$3:$X$3,U$2,معالجة!$B$4:$X$4),""))</f>
        <v/>
      </c>
      <c r="V109" s="51" t="str">
        <f>IF(OR(V$2="",COUNT(الرصد!$C109:$Y109)=0),"",IFERROR(SUMIF(معالجة!$B$3:$X$3,V$2,الرصد!$C109:$Y109)/SUMIF(معالجة!$B$3:$X$3,V$2,معالجة!$B$4:$X$4),""))</f>
        <v/>
      </c>
      <c r="W109" s="51" t="str">
        <f>IFERROR(C109/المهارات!$G$27,"")</f>
        <v/>
      </c>
    </row>
    <row r="110" spans="1:23" ht="14.25" customHeight="1">
      <c r="A110" s="46" t="s">
        <v>179</v>
      </c>
      <c r="B110" s="46" t="s">
        <v>22</v>
      </c>
      <c r="C110" s="52" t="str">
        <f>IF(COUNT(الرصد!C110:Y110)=0,"",SUM(الرصد!C110:Y110))</f>
        <v/>
      </c>
      <c r="D110" s="51" t="str">
        <f>IF(OR(D$2="",COUNT(الرصد!$C110:$Y110)=0),"",IFERROR(SUMIF(معالجة!$B$3:$X$3,D$2,الرصد!$C110:$Y110)/SUMIF(معالجة!$B$3:$X$3,D$2,معالجة!$B$4:$X$4),""))</f>
        <v/>
      </c>
      <c r="E110" s="51" t="str">
        <f>IF(OR(E$2="",COUNT(الرصد!$C110:$Y110)=0),"",IFERROR(SUMIF(معالجة!$B$3:$X$3,E$2,الرصد!$C110:$Y110)/SUMIF(معالجة!$B$3:$X$3,E$2,معالجة!$B$4:$X$4),""))</f>
        <v/>
      </c>
      <c r="F110" s="51" t="str">
        <f>IF(OR(F$2="",COUNT(الرصد!$C110:$Y110)=0),"",IFERROR(SUMIF(معالجة!$B$3:$X$3,F$2,الرصد!$C110:$Y110)/SUMIF(معالجة!$B$3:$X$3,F$2,معالجة!$B$4:$X$4),""))</f>
        <v/>
      </c>
      <c r="G110" s="51" t="str">
        <f>IF(OR(G$2="",COUNT(الرصد!$C110:$Y110)=0),"",IFERROR(SUMIF(معالجة!$B$3:$X$3,G$2,الرصد!$C110:$Y110)/SUMIF(معالجة!$B$3:$X$3,G$2,معالجة!$B$4:$X$4),""))</f>
        <v/>
      </c>
      <c r="H110" s="51" t="str">
        <f>IF(OR(H$2="",COUNT(الرصد!$C110:$Y110)=0),"",IFERROR(SUMIF(معالجة!$B$3:$X$3,H$2,الرصد!$C110:$Y110)/SUMIF(معالجة!$B$3:$X$3,H$2,معالجة!$B$4:$X$4),""))</f>
        <v/>
      </c>
      <c r="I110" s="51" t="str">
        <f>IF(OR(I$2="",COUNT(الرصد!$C110:$Y110)=0),"",IFERROR(SUMIF(معالجة!$B$3:$X$3,I$2,الرصد!$C110:$Y110)/SUMIF(معالجة!$B$3:$X$3,I$2,معالجة!$B$4:$X$4),""))</f>
        <v/>
      </c>
      <c r="J110" s="51" t="str">
        <f>IF(OR(J$2="",COUNT(الرصد!$C110:$Y110)=0),"",IFERROR(SUMIF(معالجة!$B$3:$X$3,J$2,الرصد!$C110:$Y110)/SUMIF(معالجة!$B$3:$X$3,J$2,معالجة!$B$4:$X$4),""))</f>
        <v/>
      </c>
      <c r="K110" s="51" t="str">
        <f>IF(OR(K$2="",COUNT(الرصد!$C110:$Y110)=0),"",IFERROR(SUMIF(معالجة!$B$3:$X$3,K$2,الرصد!$C110:$Y110)/SUMIF(معالجة!$B$3:$X$3,K$2,معالجة!$B$4:$X$4),""))</f>
        <v/>
      </c>
      <c r="L110" s="51" t="str">
        <f>IF(OR(L$2="",COUNT(الرصد!$C110:$Y110)=0),"",IFERROR(SUMIF(معالجة!$B$3:$X$3,L$2,الرصد!$C110:$Y110)/SUMIF(معالجة!$B$3:$X$3,L$2,معالجة!$B$4:$X$4),""))</f>
        <v/>
      </c>
      <c r="M110" s="51" t="str">
        <f>IF(OR(M$2="",COUNT(الرصد!$C110:$Y110)=0),"",IFERROR(SUMIF(معالجة!$B$3:$X$3,M$2,الرصد!$C110:$Y110)/SUMIF(معالجة!$B$3:$X$3,M$2,معالجة!$B$4:$X$4),""))</f>
        <v/>
      </c>
      <c r="N110" s="51" t="str">
        <f>IF(OR(N$2="",COUNT(الرصد!$C110:$Y110)=0),"",IFERROR(SUMIF(معالجة!$B$3:$X$3,N$2,الرصد!$C110:$Y110)/SUMIF(معالجة!$B$3:$X$3,N$2,معالجة!$B$4:$X$4),""))</f>
        <v/>
      </c>
      <c r="O110" s="51" t="str">
        <f>IF(OR(O$2="",COUNT(الرصد!$C110:$Y110)=0),"",IFERROR(SUMIF(معالجة!$B$3:$X$3,O$2,الرصد!$C110:$Y110)/SUMIF(معالجة!$B$3:$X$3,O$2,معالجة!$B$4:$X$4),""))</f>
        <v/>
      </c>
      <c r="P110" s="51" t="str">
        <f>IF(OR(P$2="",COUNT(الرصد!$C110:$Y110)=0),"",IFERROR(SUMIF(معالجة!$B$3:$X$3,P$2,الرصد!$C110:$Y110)/SUMIF(معالجة!$B$3:$X$3,P$2,معالجة!$B$4:$X$4),""))</f>
        <v/>
      </c>
      <c r="Q110" s="51" t="str">
        <f>IF(OR(Q$2="",COUNT(الرصد!$C110:$Y110)=0),"",IFERROR(SUMIF(معالجة!$B$3:$X$3,Q$2,الرصد!$C110:$Y110)/SUMIF(معالجة!$B$3:$X$3,Q$2,معالجة!$B$4:$X$4),""))</f>
        <v/>
      </c>
      <c r="R110" s="51" t="str">
        <f>IF(OR(R$2="",COUNT(الرصد!$C110:$Y110)=0),"",IFERROR(SUMIF(معالجة!$B$3:$X$3,R$2,الرصد!$C110:$Y110)/SUMIF(معالجة!$B$3:$X$3,R$2,معالجة!$B$4:$X$4),""))</f>
        <v/>
      </c>
      <c r="S110" s="51" t="str">
        <f>IF(OR(S$2="",COUNT(الرصد!$C110:$Y110)=0),"",IFERROR(SUMIF(معالجة!$B$3:$X$3,S$2,الرصد!$C110:$Y110)/SUMIF(معالجة!$B$3:$X$3,S$2,معالجة!$B$4:$X$4),""))</f>
        <v/>
      </c>
      <c r="T110" s="51" t="str">
        <f>IF(OR(T$2="",COUNT(الرصد!$C110:$Y110)=0),"",IFERROR(SUMIF(معالجة!$B$3:$X$3,T$2,الرصد!$C110:$Y110)/SUMIF(معالجة!$B$3:$X$3,T$2,معالجة!$B$4:$X$4),""))</f>
        <v/>
      </c>
      <c r="U110" s="51" t="str">
        <f>IF(OR(U$2="",COUNT(الرصد!$C110:$Y110)=0),"",IFERROR(SUMIF(معالجة!$B$3:$X$3,U$2,الرصد!$C110:$Y110)/SUMIF(معالجة!$B$3:$X$3,U$2,معالجة!$B$4:$X$4),""))</f>
        <v/>
      </c>
      <c r="V110" s="51" t="str">
        <f>IF(OR(V$2="",COUNT(الرصد!$C110:$Y110)=0),"",IFERROR(SUMIF(معالجة!$B$3:$X$3,V$2,الرصد!$C110:$Y110)/SUMIF(معالجة!$B$3:$X$3,V$2,معالجة!$B$4:$X$4),""))</f>
        <v/>
      </c>
      <c r="W110" s="51" t="str">
        <f>IFERROR(C110/المهارات!$G$27,"")</f>
        <v/>
      </c>
    </row>
    <row r="111" spans="1:23" ht="14.25" customHeight="1">
      <c r="A111" s="42" t="s">
        <v>180</v>
      </c>
      <c r="B111" s="42" t="s">
        <v>22</v>
      </c>
      <c r="C111" s="50" t="str">
        <f>IF(COUNT(الرصد!C111:Y111)=0,"",SUM(الرصد!C111:Y111))</f>
        <v/>
      </c>
      <c r="D111" s="51" t="str">
        <f>IF(OR(D$2="",COUNT(الرصد!$C111:$Y111)=0),"",IFERROR(SUMIF(معالجة!$B$3:$X$3,D$2,الرصد!$C111:$Y111)/SUMIF(معالجة!$B$3:$X$3,D$2,معالجة!$B$4:$X$4),""))</f>
        <v/>
      </c>
      <c r="E111" s="51" t="str">
        <f>IF(OR(E$2="",COUNT(الرصد!$C111:$Y111)=0),"",IFERROR(SUMIF(معالجة!$B$3:$X$3,E$2,الرصد!$C111:$Y111)/SUMIF(معالجة!$B$3:$X$3,E$2,معالجة!$B$4:$X$4),""))</f>
        <v/>
      </c>
      <c r="F111" s="51" t="str">
        <f>IF(OR(F$2="",COUNT(الرصد!$C111:$Y111)=0),"",IFERROR(SUMIF(معالجة!$B$3:$X$3,F$2,الرصد!$C111:$Y111)/SUMIF(معالجة!$B$3:$X$3,F$2,معالجة!$B$4:$X$4),""))</f>
        <v/>
      </c>
      <c r="G111" s="51" t="str">
        <f>IF(OR(G$2="",COUNT(الرصد!$C111:$Y111)=0),"",IFERROR(SUMIF(معالجة!$B$3:$X$3,G$2,الرصد!$C111:$Y111)/SUMIF(معالجة!$B$3:$X$3,G$2,معالجة!$B$4:$X$4),""))</f>
        <v/>
      </c>
      <c r="H111" s="51" t="str">
        <f>IF(OR(H$2="",COUNT(الرصد!$C111:$Y111)=0),"",IFERROR(SUMIF(معالجة!$B$3:$X$3,H$2,الرصد!$C111:$Y111)/SUMIF(معالجة!$B$3:$X$3,H$2,معالجة!$B$4:$X$4),""))</f>
        <v/>
      </c>
      <c r="I111" s="51" t="str">
        <f>IF(OR(I$2="",COUNT(الرصد!$C111:$Y111)=0),"",IFERROR(SUMIF(معالجة!$B$3:$X$3,I$2,الرصد!$C111:$Y111)/SUMIF(معالجة!$B$3:$X$3,I$2,معالجة!$B$4:$X$4),""))</f>
        <v/>
      </c>
      <c r="J111" s="51" t="str">
        <f>IF(OR(J$2="",COUNT(الرصد!$C111:$Y111)=0),"",IFERROR(SUMIF(معالجة!$B$3:$X$3,J$2,الرصد!$C111:$Y111)/SUMIF(معالجة!$B$3:$X$3,J$2,معالجة!$B$4:$X$4),""))</f>
        <v/>
      </c>
      <c r="K111" s="51" t="str">
        <f>IF(OR(K$2="",COUNT(الرصد!$C111:$Y111)=0),"",IFERROR(SUMIF(معالجة!$B$3:$X$3,K$2,الرصد!$C111:$Y111)/SUMIF(معالجة!$B$3:$X$3,K$2,معالجة!$B$4:$X$4),""))</f>
        <v/>
      </c>
      <c r="L111" s="51" t="str">
        <f>IF(OR(L$2="",COUNT(الرصد!$C111:$Y111)=0),"",IFERROR(SUMIF(معالجة!$B$3:$X$3,L$2,الرصد!$C111:$Y111)/SUMIF(معالجة!$B$3:$X$3,L$2,معالجة!$B$4:$X$4),""))</f>
        <v/>
      </c>
      <c r="M111" s="51" t="str">
        <f>IF(OR(M$2="",COUNT(الرصد!$C111:$Y111)=0),"",IFERROR(SUMIF(معالجة!$B$3:$X$3,M$2,الرصد!$C111:$Y111)/SUMIF(معالجة!$B$3:$X$3,M$2,معالجة!$B$4:$X$4),""))</f>
        <v/>
      </c>
      <c r="N111" s="51" t="str">
        <f>IF(OR(N$2="",COUNT(الرصد!$C111:$Y111)=0),"",IFERROR(SUMIF(معالجة!$B$3:$X$3,N$2,الرصد!$C111:$Y111)/SUMIF(معالجة!$B$3:$X$3,N$2,معالجة!$B$4:$X$4),""))</f>
        <v/>
      </c>
      <c r="O111" s="51" t="str">
        <f>IF(OR(O$2="",COUNT(الرصد!$C111:$Y111)=0),"",IFERROR(SUMIF(معالجة!$B$3:$X$3,O$2,الرصد!$C111:$Y111)/SUMIF(معالجة!$B$3:$X$3,O$2,معالجة!$B$4:$X$4),""))</f>
        <v/>
      </c>
      <c r="P111" s="51" t="str">
        <f>IF(OR(P$2="",COUNT(الرصد!$C111:$Y111)=0),"",IFERROR(SUMIF(معالجة!$B$3:$X$3,P$2,الرصد!$C111:$Y111)/SUMIF(معالجة!$B$3:$X$3,P$2,معالجة!$B$4:$X$4),""))</f>
        <v/>
      </c>
      <c r="Q111" s="51" t="str">
        <f>IF(OR(Q$2="",COUNT(الرصد!$C111:$Y111)=0),"",IFERROR(SUMIF(معالجة!$B$3:$X$3,Q$2,الرصد!$C111:$Y111)/SUMIF(معالجة!$B$3:$X$3,Q$2,معالجة!$B$4:$X$4),""))</f>
        <v/>
      </c>
      <c r="R111" s="51" t="str">
        <f>IF(OR(R$2="",COUNT(الرصد!$C111:$Y111)=0),"",IFERROR(SUMIF(معالجة!$B$3:$X$3,R$2,الرصد!$C111:$Y111)/SUMIF(معالجة!$B$3:$X$3,R$2,معالجة!$B$4:$X$4),""))</f>
        <v/>
      </c>
      <c r="S111" s="51" t="str">
        <f>IF(OR(S$2="",COUNT(الرصد!$C111:$Y111)=0),"",IFERROR(SUMIF(معالجة!$B$3:$X$3,S$2,الرصد!$C111:$Y111)/SUMIF(معالجة!$B$3:$X$3,S$2,معالجة!$B$4:$X$4),""))</f>
        <v/>
      </c>
      <c r="T111" s="51" t="str">
        <f>IF(OR(T$2="",COUNT(الرصد!$C111:$Y111)=0),"",IFERROR(SUMIF(معالجة!$B$3:$X$3,T$2,الرصد!$C111:$Y111)/SUMIF(معالجة!$B$3:$X$3,T$2,معالجة!$B$4:$X$4),""))</f>
        <v/>
      </c>
      <c r="U111" s="51" t="str">
        <f>IF(OR(U$2="",COUNT(الرصد!$C111:$Y111)=0),"",IFERROR(SUMIF(معالجة!$B$3:$X$3,U$2,الرصد!$C111:$Y111)/SUMIF(معالجة!$B$3:$X$3,U$2,معالجة!$B$4:$X$4),""))</f>
        <v/>
      </c>
      <c r="V111" s="51" t="str">
        <f>IF(OR(V$2="",COUNT(الرصد!$C111:$Y111)=0),"",IFERROR(SUMIF(معالجة!$B$3:$X$3,V$2,الرصد!$C111:$Y111)/SUMIF(معالجة!$B$3:$X$3,V$2,معالجة!$B$4:$X$4),""))</f>
        <v/>
      </c>
      <c r="W111" s="51" t="str">
        <f>IFERROR(C111/المهارات!$G$27,"")</f>
        <v/>
      </c>
    </row>
    <row r="112" spans="1:23" ht="14.25" customHeight="1">
      <c r="A112" s="46" t="s">
        <v>181</v>
      </c>
      <c r="B112" s="46" t="s">
        <v>22</v>
      </c>
      <c r="C112" s="52" t="str">
        <f>IF(COUNT(الرصد!C112:Y112)=0,"",SUM(الرصد!C112:Y112))</f>
        <v/>
      </c>
      <c r="D112" s="51" t="str">
        <f>IF(OR(D$2="",COUNT(الرصد!$C112:$Y112)=0),"",IFERROR(SUMIF(معالجة!$B$3:$X$3,D$2,الرصد!$C112:$Y112)/SUMIF(معالجة!$B$3:$X$3,D$2,معالجة!$B$4:$X$4),""))</f>
        <v/>
      </c>
      <c r="E112" s="51" t="str">
        <f>IF(OR(E$2="",COUNT(الرصد!$C112:$Y112)=0),"",IFERROR(SUMIF(معالجة!$B$3:$X$3,E$2,الرصد!$C112:$Y112)/SUMIF(معالجة!$B$3:$X$3,E$2,معالجة!$B$4:$X$4),""))</f>
        <v/>
      </c>
      <c r="F112" s="51" t="str">
        <f>IF(OR(F$2="",COUNT(الرصد!$C112:$Y112)=0),"",IFERROR(SUMIF(معالجة!$B$3:$X$3,F$2,الرصد!$C112:$Y112)/SUMIF(معالجة!$B$3:$X$3,F$2,معالجة!$B$4:$X$4),""))</f>
        <v/>
      </c>
      <c r="G112" s="51" t="str">
        <f>IF(OR(G$2="",COUNT(الرصد!$C112:$Y112)=0),"",IFERROR(SUMIF(معالجة!$B$3:$X$3,G$2,الرصد!$C112:$Y112)/SUMIF(معالجة!$B$3:$X$3,G$2,معالجة!$B$4:$X$4),""))</f>
        <v/>
      </c>
      <c r="H112" s="51" t="str">
        <f>IF(OR(H$2="",COUNT(الرصد!$C112:$Y112)=0),"",IFERROR(SUMIF(معالجة!$B$3:$X$3,H$2,الرصد!$C112:$Y112)/SUMIF(معالجة!$B$3:$X$3,H$2,معالجة!$B$4:$X$4),""))</f>
        <v/>
      </c>
      <c r="I112" s="51" t="str">
        <f>IF(OR(I$2="",COUNT(الرصد!$C112:$Y112)=0),"",IFERROR(SUMIF(معالجة!$B$3:$X$3,I$2,الرصد!$C112:$Y112)/SUMIF(معالجة!$B$3:$X$3,I$2,معالجة!$B$4:$X$4),""))</f>
        <v/>
      </c>
      <c r="J112" s="51" t="str">
        <f>IF(OR(J$2="",COUNT(الرصد!$C112:$Y112)=0),"",IFERROR(SUMIF(معالجة!$B$3:$X$3,J$2,الرصد!$C112:$Y112)/SUMIF(معالجة!$B$3:$X$3,J$2,معالجة!$B$4:$X$4),""))</f>
        <v/>
      </c>
      <c r="K112" s="51" t="str">
        <f>IF(OR(K$2="",COUNT(الرصد!$C112:$Y112)=0),"",IFERROR(SUMIF(معالجة!$B$3:$X$3,K$2,الرصد!$C112:$Y112)/SUMIF(معالجة!$B$3:$X$3,K$2,معالجة!$B$4:$X$4),""))</f>
        <v/>
      </c>
      <c r="L112" s="51" t="str">
        <f>IF(OR(L$2="",COUNT(الرصد!$C112:$Y112)=0),"",IFERROR(SUMIF(معالجة!$B$3:$X$3,L$2,الرصد!$C112:$Y112)/SUMIF(معالجة!$B$3:$X$3,L$2,معالجة!$B$4:$X$4),""))</f>
        <v/>
      </c>
      <c r="M112" s="51" t="str">
        <f>IF(OR(M$2="",COUNT(الرصد!$C112:$Y112)=0),"",IFERROR(SUMIF(معالجة!$B$3:$X$3,M$2,الرصد!$C112:$Y112)/SUMIF(معالجة!$B$3:$X$3,M$2,معالجة!$B$4:$X$4),""))</f>
        <v/>
      </c>
      <c r="N112" s="51" t="str">
        <f>IF(OR(N$2="",COUNT(الرصد!$C112:$Y112)=0),"",IFERROR(SUMIF(معالجة!$B$3:$X$3,N$2,الرصد!$C112:$Y112)/SUMIF(معالجة!$B$3:$X$3,N$2,معالجة!$B$4:$X$4),""))</f>
        <v/>
      </c>
      <c r="O112" s="51" t="str">
        <f>IF(OR(O$2="",COUNT(الرصد!$C112:$Y112)=0),"",IFERROR(SUMIF(معالجة!$B$3:$X$3,O$2,الرصد!$C112:$Y112)/SUMIF(معالجة!$B$3:$X$3,O$2,معالجة!$B$4:$X$4),""))</f>
        <v/>
      </c>
      <c r="P112" s="51" t="str">
        <f>IF(OR(P$2="",COUNT(الرصد!$C112:$Y112)=0),"",IFERROR(SUMIF(معالجة!$B$3:$X$3,P$2,الرصد!$C112:$Y112)/SUMIF(معالجة!$B$3:$X$3,P$2,معالجة!$B$4:$X$4),""))</f>
        <v/>
      </c>
      <c r="Q112" s="51" t="str">
        <f>IF(OR(Q$2="",COUNT(الرصد!$C112:$Y112)=0),"",IFERROR(SUMIF(معالجة!$B$3:$X$3,Q$2,الرصد!$C112:$Y112)/SUMIF(معالجة!$B$3:$X$3,Q$2,معالجة!$B$4:$X$4),""))</f>
        <v/>
      </c>
      <c r="R112" s="51" t="str">
        <f>IF(OR(R$2="",COUNT(الرصد!$C112:$Y112)=0),"",IFERROR(SUMIF(معالجة!$B$3:$X$3,R$2,الرصد!$C112:$Y112)/SUMIF(معالجة!$B$3:$X$3,R$2,معالجة!$B$4:$X$4),""))</f>
        <v/>
      </c>
      <c r="S112" s="51" t="str">
        <f>IF(OR(S$2="",COUNT(الرصد!$C112:$Y112)=0),"",IFERROR(SUMIF(معالجة!$B$3:$X$3,S$2,الرصد!$C112:$Y112)/SUMIF(معالجة!$B$3:$X$3,S$2,معالجة!$B$4:$X$4),""))</f>
        <v/>
      </c>
      <c r="T112" s="51" t="str">
        <f>IF(OR(T$2="",COUNT(الرصد!$C112:$Y112)=0),"",IFERROR(SUMIF(معالجة!$B$3:$X$3,T$2,الرصد!$C112:$Y112)/SUMIF(معالجة!$B$3:$X$3,T$2,معالجة!$B$4:$X$4),""))</f>
        <v/>
      </c>
      <c r="U112" s="51" t="str">
        <f>IF(OR(U$2="",COUNT(الرصد!$C112:$Y112)=0),"",IFERROR(SUMIF(معالجة!$B$3:$X$3,U$2,الرصد!$C112:$Y112)/SUMIF(معالجة!$B$3:$X$3,U$2,معالجة!$B$4:$X$4),""))</f>
        <v/>
      </c>
      <c r="V112" s="51" t="str">
        <f>IF(OR(V$2="",COUNT(الرصد!$C112:$Y112)=0),"",IFERROR(SUMIF(معالجة!$B$3:$X$3,V$2,الرصد!$C112:$Y112)/SUMIF(معالجة!$B$3:$X$3,V$2,معالجة!$B$4:$X$4),""))</f>
        <v/>
      </c>
      <c r="W112" s="51" t="str">
        <f>IFERROR(C112/المهارات!$G$27,"")</f>
        <v/>
      </c>
    </row>
    <row r="113" spans="1:23" ht="14.25" customHeight="1">
      <c r="A113" s="42" t="s">
        <v>182</v>
      </c>
      <c r="B113" s="42" t="s">
        <v>22</v>
      </c>
      <c r="C113" s="50" t="str">
        <f>IF(COUNT(الرصد!C113:Y113)=0,"",SUM(الرصد!C113:Y113))</f>
        <v/>
      </c>
      <c r="D113" s="51" t="str">
        <f>IF(OR(D$2="",COUNT(الرصد!$C113:$Y113)=0),"",IFERROR(SUMIF(معالجة!$B$3:$X$3,D$2,الرصد!$C113:$Y113)/SUMIF(معالجة!$B$3:$X$3,D$2,معالجة!$B$4:$X$4),""))</f>
        <v/>
      </c>
      <c r="E113" s="51" t="str">
        <f>IF(OR(E$2="",COUNT(الرصد!$C113:$Y113)=0),"",IFERROR(SUMIF(معالجة!$B$3:$X$3,E$2,الرصد!$C113:$Y113)/SUMIF(معالجة!$B$3:$X$3,E$2,معالجة!$B$4:$X$4),""))</f>
        <v/>
      </c>
      <c r="F113" s="51" t="str">
        <f>IF(OR(F$2="",COUNT(الرصد!$C113:$Y113)=0),"",IFERROR(SUMIF(معالجة!$B$3:$X$3,F$2,الرصد!$C113:$Y113)/SUMIF(معالجة!$B$3:$X$3,F$2,معالجة!$B$4:$X$4),""))</f>
        <v/>
      </c>
      <c r="G113" s="51" t="str">
        <f>IF(OR(G$2="",COUNT(الرصد!$C113:$Y113)=0),"",IFERROR(SUMIF(معالجة!$B$3:$X$3,G$2,الرصد!$C113:$Y113)/SUMIF(معالجة!$B$3:$X$3,G$2,معالجة!$B$4:$X$4),""))</f>
        <v/>
      </c>
      <c r="H113" s="51" t="str">
        <f>IF(OR(H$2="",COUNT(الرصد!$C113:$Y113)=0),"",IFERROR(SUMIF(معالجة!$B$3:$X$3,H$2,الرصد!$C113:$Y113)/SUMIF(معالجة!$B$3:$X$3,H$2,معالجة!$B$4:$X$4),""))</f>
        <v/>
      </c>
      <c r="I113" s="51" t="str">
        <f>IF(OR(I$2="",COUNT(الرصد!$C113:$Y113)=0),"",IFERROR(SUMIF(معالجة!$B$3:$X$3,I$2,الرصد!$C113:$Y113)/SUMIF(معالجة!$B$3:$X$3,I$2,معالجة!$B$4:$X$4),""))</f>
        <v/>
      </c>
      <c r="J113" s="51" t="str">
        <f>IF(OR(J$2="",COUNT(الرصد!$C113:$Y113)=0),"",IFERROR(SUMIF(معالجة!$B$3:$X$3,J$2,الرصد!$C113:$Y113)/SUMIF(معالجة!$B$3:$X$3,J$2,معالجة!$B$4:$X$4),""))</f>
        <v/>
      </c>
      <c r="K113" s="51" t="str">
        <f>IF(OR(K$2="",COUNT(الرصد!$C113:$Y113)=0),"",IFERROR(SUMIF(معالجة!$B$3:$X$3,K$2,الرصد!$C113:$Y113)/SUMIF(معالجة!$B$3:$X$3,K$2,معالجة!$B$4:$X$4),""))</f>
        <v/>
      </c>
      <c r="L113" s="51" t="str">
        <f>IF(OR(L$2="",COUNT(الرصد!$C113:$Y113)=0),"",IFERROR(SUMIF(معالجة!$B$3:$X$3,L$2,الرصد!$C113:$Y113)/SUMIF(معالجة!$B$3:$X$3,L$2,معالجة!$B$4:$X$4),""))</f>
        <v/>
      </c>
      <c r="M113" s="51" t="str">
        <f>IF(OR(M$2="",COUNT(الرصد!$C113:$Y113)=0),"",IFERROR(SUMIF(معالجة!$B$3:$X$3,M$2,الرصد!$C113:$Y113)/SUMIF(معالجة!$B$3:$X$3,M$2,معالجة!$B$4:$X$4),""))</f>
        <v/>
      </c>
      <c r="N113" s="51" t="str">
        <f>IF(OR(N$2="",COUNT(الرصد!$C113:$Y113)=0),"",IFERROR(SUMIF(معالجة!$B$3:$X$3,N$2,الرصد!$C113:$Y113)/SUMIF(معالجة!$B$3:$X$3,N$2,معالجة!$B$4:$X$4),""))</f>
        <v/>
      </c>
      <c r="O113" s="51" t="str">
        <f>IF(OR(O$2="",COUNT(الرصد!$C113:$Y113)=0),"",IFERROR(SUMIF(معالجة!$B$3:$X$3,O$2,الرصد!$C113:$Y113)/SUMIF(معالجة!$B$3:$X$3,O$2,معالجة!$B$4:$X$4),""))</f>
        <v/>
      </c>
      <c r="P113" s="51" t="str">
        <f>IF(OR(P$2="",COUNT(الرصد!$C113:$Y113)=0),"",IFERROR(SUMIF(معالجة!$B$3:$X$3,P$2,الرصد!$C113:$Y113)/SUMIF(معالجة!$B$3:$X$3,P$2,معالجة!$B$4:$X$4),""))</f>
        <v/>
      </c>
      <c r="Q113" s="51" t="str">
        <f>IF(OR(Q$2="",COUNT(الرصد!$C113:$Y113)=0),"",IFERROR(SUMIF(معالجة!$B$3:$X$3,Q$2,الرصد!$C113:$Y113)/SUMIF(معالجة!$B$3:$X$3,Q$2,معالجة!$B$4:$X$4),""))</f>
        <v/>
      </c>
      <c r="R113" s="51" t="str">
        <f>IF(OR(R$2="",COUNT(الرصد!$C113:$Y113)=0),"",IFERROR(SUMIF(معالجة!$B$3:$X$3,R$2,الرصد!$C113:$Y113)/SUMIF(معالجة!$B$3:$X$3,R$2,معالجة!$B$4:$X$4),""))</f>
        <v/>
      </c>
      <c r="S113" s="51" t="str">
        <f>IF(OR(S$2="",COUNT(الرصد!$C113:$Y113)=0),"",IFERROR(SUMIF(معالجة!$B$3:$X$3,S$2,الرصد!$C113:$Y113)/SUMIF(معالجة!$B$3:$X$3,S$2,معالجة!$B$4:$X$4),""))</f>
        <v/>
      </c>
      <c r="T113" s="51" t="str">
        <f>IF(OR(T$2="",COUNT(الرصد!$C113:$Y113)=0),"",IFERROR(SUMIF(معالجة!$B$3:$X$3,T$2,الرصد!$C113:$Y113)/SUMIF(معالجة!$B$3:$X$3,T$2,معالجة!$B$4:$X$4),""))</f>
        <v/>
      </c>
      <c r="U113" s="51" t="str">
        <f>IF(OR(U$2="",COUNT(الرصد!$C113:$Y113)=0),"",IFERROR(SUMIF(معالجة!$B$3:$X$3,U$2,الرصد!$C113:$Y113)/SUMIF(معالجة!$B$3:$X$3,U$2,معالجة!$B$4:$X$4),""))</f>
        <v/>
      </c>
      <c r="V113" s="51" t="str">
        <f>IF(OR(V$2="",COUNT(الرصد!$C113:$Y113)=0),"",IFERROR(SUMIF(معالجة!$B$3:$X$3,V$2,الرصد!$C113:$Y113)/SUMIF(معالجة!$B$3:$X$3,V$2,معالجة!$B$4:$X$4),""))</f>
        <v/>
      </c>
      <c r="W113" s="51" t="str">
        <f>IFERROR(C113/المهارات!$G$27,"")</f>
        <v/>
      </c>
    </row>
    <row r="114" spans="1:23" ht="14.25" customHeight="1">
      <c r="A114" s="46" t="s">
        <v>183</v>
      </c>
      <c r="B114" s="46" t="s">
        <v>22</v>
      </c>
      <c r="C114" s="52" t="str">
        <f>IF(COUNT(الرصد!C114:Y114)=0,"",SUM(الرصد!C114:Y114))</f>
        <v/>
      </c>
      <c r="D114" s="51" t="str">
        <f>IF(OR(D$2="",COUNT(الرصد!$C114:$Y114)=0),"",IFERROR(SUMIF(معالجة!$B$3:$X$3,D$2,الرصد!$C114:$Y114)/SUMIF(معالجة!$B$3:$X$3,D$2,معالجة!$B$4:$X$4),""))</f>
        <v/>
      </c>
      <c r="E114" s="51" t="str">
        <f>IF(OR(E$2="",COUNT(الرصد!$C114:$Y114)=0),"",IFERROR(SUMIF(معالجة!$B$3:$X$3,E$2,الرصد!$C114:$Y114)/SUMIF(معالجة!$B$3:$X$3,E$2,معالجة!$B$4:$X$4),""))</f>
        <v/>
      </c>
      <c r="F114" s="51" t="str">
        <f>IF(OR(F$2="",COUNT(الرصد!$C114:$Y114)=0),"",IFERROR(SUMIF(معالجة!$B$3:$X$3,F$2,الرصد!$C114:$Y114)/SUMIF(معالجة!$B$3:$X$3,F$2,معالجة!$B$4:$X$4),""))</f>
        <v/>
      </c>
      <c r="G114" s="51" t="str">
        <f>IF(OR(G$2="",COUNT(الرصد!$C114:$Y114)=0),"",IFERROR(SUMIF(معالجة!$B$3:$X$3,G$2,الرصد!$C114:$Y114)/SUMIF(معالجة!$B$3:$X$3,G$2,معالجة!$B$4:$X$4),""))</f>
        <v/>
      </c>
      <c r="H114" s="51" t="str">
        <f>IF(OR(H$2="",COUNT(الرصد!$C114:$Y114)=0),"",IFERROR(SUMIF(معالجة!$B$3:$X$3,H$2,الرصد!$C114:$Y114)/SUMIF(معالجة!$B$3:$X$3,H$2,معالجة!$B$4:$X$4),""))</f>
        <v/>
      </c>
      <c r="I114" s="51" t="str">
        <f>IF(OR(I$2="",COUNT(الرصد!$C114:$Y114)=0),"",IFERROR(SUMIF(معالجة!$B$3:$X$3,I$2,الرصد!$C114:$Y114)/SUMIF(معالجة!$B$3:$X$3,I$2,معالجة!$B$4:$X$4),""))</f>
        <v/>
      </c>
      <c r="J114" s="51" t="str">
        <f>IF(OR(J$2="",COUNT(الرصد!$C114:$Y114)=0),"",IFERROR(SUMIF(معالجة!$B$3:$X$3,J$2,الرصد!$C114:$Y114)/SUMIF(معالجة!$B$3:$X$3,J$2,معالجة!$B$4:$X$4),""))</f>
        <v/>
      </c>
      <c r="K114" s="51" t="str">
        <f>IF(OR(K$2="",COUNT(الرصد!$C114:$Y114)=0),"",IFERROR(SUMIF(معالجة!$B$3:$X$3,K$2,الرصد!$C114:$Y114)/SUMIF(معالجة!$B$3:$X$3,K$2,معالجة!$B$4:$X$4),""))</f>
        <v/>
      </c>
      <c r="L114" s="51" t="str">
        <f>IF(OR(L$2="",COUNT(الرصد!$C114:$Y114)=0),"",IFERROR(SUMIF(معالجة!$B$3:$X$3,L$2,الرصد!$C114:$Y114)/SUMIF(معالجة!$B$3:$X$3,L$2,معالجة!$B$4:$X$4),""))</f>
        <v/>
      </c>
      <c r="M114" s="51" t="str">
        <f>IF(OR(M$2="",COUNT(الرصد!$C114:$Y114)=0),"",IFERROR(SUMIF(معالجة!$B$3:$X$3,M$2,الرصد!$C114:$Y114)/SUMIF(معالجة!$B$3:$X$3,M$2,معالجة!$B$4:$X$4),""))</f>
        <v/>
      </c>
      <c r="N114" s="51" t="str">
        <f>IF(OR(N$2="",COUNT(الرصد!$C114:$Y114)=0),"",IFERROR(SUMIF(معالجة!$B$3:$X$3,N$2,الرصد!$C114:$Y114)/SUMIF(معالجة!$B$3:$X$3,N$2,معالجة!$B$4:$X$4),""))</f>
        <v/>
      </c>
      <c r="O114" s="51" t="str">
        <f>IF(OR(O$2="",COUNT(الرصد!$C114:$Y114)=0),"",IFERROR(SUMIF(معالجة!$B$3:$X$3,O$2,الرصد!$C114:$Y114)/SUMIF(معالجة!$B$3:$X$3,O$2,معالجة!$B$4:$X$4),""))</f>
        <v/>
      </c>
      <c r="P114" s="51" t="str">
        <f>IF(OR(P$2="",COUNT(الرصد!$C114:$Y114)=0),"",IFERROR(SUMIF(معالجة!$B$3:$X$3,P$2,الرصد!$C114:$Y114)/SUMIF(معالجة!$B$3:$X$3,P$2,معالجة!$B$4:$X$4),""))</f>
        <v/>
      </c>
      <c r="Q114" s="51" t="str">
        <f>IF(OR(Q$2="",COUNT(الرصد!$C114:$Y114)=0),"",IFERROR(SUMIF(معالجة!$B$3:$X$3,Q$2,الرصد!$C114:$Y114)/SUMIF(معالجة!$B$3:$X$3,Q$2,معالجة!$B$4:$X$4),""))</f>
        <v/>
      </c>
      <c r="R114" s="51" t="str">
        <f>IF(OR(R$2="",COUNT(الرصد!$C114:$Y114)=0),"",IFERROR(SUMIF(معالجة!$B$3:$X$3,R$2,الرصد!$C114:$Y114)/SUMIF(معالجة!$B$3:$X$3,R$2,معالجة!$B$4:$X$4),""))</f>
        <v/>
      </c>
      <c r="S114" s="51" t="str">
        <f>IF(OR(S$2="",COUNT(الرصد!$C114:$Y114)=0),"",IFERROR(SUMIF(معالجة!$B$3:$X$3,S$2,الرصد!$C114:$Y114)/SUMIF(معالجة!$B$3:$X$3,S$2,معالجة!$B$4:$X$4),""))</f>
        <v/>
      </c>
      <c r="T114" s="51" t="str">
        <f>IF(OR(T$2="",COUNT(الرصد!$C114:$Y114)=0),"",IFERROR(SUMIF(معالجة!$B$3:$X$3,T$2,الرصد!$C114:$Y114)/SUMIF(معالجة!$B$3:$X$3,T$2,معالجة!$B$4:$X$4),""))</f>
        <v/>
      </c>
      <c r="U114" s="51" t="str">
        <f>IF(OR(U$2="",COUNT(الرصد!$C114:$Y114)=0),"",IFERROR(SUMIF(معالجة!$B$3:$X$3,U$2,الرصد!$C114:$Y114)/SUMIF(معالجة!$B$3:$X$3,U$2,معالجة!$B$4:$X$4),""))</f>
        <v/>
      </c>
      <c r="V114" s="51" t="str">
        <f>IF(OR(V$2="",COUNT(الرصد!$C114:$Y114)=0),"",IFERROR(SUMIF(معالجة!$B$3:$X$3,V$2,الرصد!$C114:$Y114)/SUMIF(معالجة!$B$3:$X$3,V$2,معالجة!$B$4:$X$4),""))</f>
        <v/>
      </c>
      <c r="W114" s="51" t="str">
        <f>IFERROR(C114/المهارات!$G$27,"")</f>
        <v/>
      </c>
    </row>
    <row r="115" spans="1:23" ht="14.25" customHeight="1">
      <c r="A115" s="42" t="s">
        <v>184</v>
      </c>
      <c r="B115" s="42" t="s">
        <v>22</v>
      </c>
      <c r="C115" s="50" t="str">
        <f>IF(COUNT(الرصد!C115:Y115)=0,"",SUM(الرصد!C115:Y115))</f>
        <v/>
      </c>
      <c r="D115" s="51" t="str">
        <f>IF(OR(D$2="",COUNT(الرصد!$C115:$Y115)=0),"",IFERROR(SUMIF(معالجة!$B$3:$X$3,D$2,الرصد!$C115:$Y115)/SUMIF(معالجة!$B$3:$X$3,D$2,معالجة!$B$4:$X$4),""))</f>
        <v/>
      </c>
      <c r="E115" s="51" t="str">
        <f>IF(OR(E$2="",COUNT(الرصد!$C115:$Y115)=0),"",IFERROR(SUMIF(معالجة!$B$3:$X$3,E$2,الرصد!$C115:$Y115)/SUMIF(معالجة!$B$3:$X$3,E$2,معالجة!$B$4:$X$4),""))</f>
        <v/>
      </c>
      <c r="F115" s="51" t="str">
        <f>IF(OR(F$2="",COUNT(الرصد!$C115:$Y115)=0),"",IFERROR(SUMIF(معالجة!$B$3:$X$3,F$2,الرصد!$C115:$Y115)/SUMIF(معالجة!$B$3:$X$3,F$2,معالجة!$B$4:$X$4),""))</f>
        <v/>
      </c>
      <c r="G115" s="51" t="str">
        <f>IF(OR(G$2="",COUNT(الرصد!$C115:$Y115)=0),"",IFERROR(SUMIF(معالجة!$B$3:$X$3,G$2,الرصد!$C115:$Y115)/SUMIF(معالجة!$B$3:$X$3,G$2,معالجة!$B$4:$X$4),""))</f>
        <v/>
      </c>
      <c r="H115" s="51" t="str">
        <f>IF(OR(H$2="",COUNT(الرصد!$C115:$Y115)=0),"",IFERROR(SUMIF(معالجة!$B$3:$X$3,H$2,الرصد!$C115:$Y115)/SUMIF(معالجة!$B$3:$X$3,H$2,معالجة!$B$4:$X$4),""))</f>
        <v/>
      </c>
      <c r="I115" s="51" t="str">
        <f>IF(OR(I$2="",COUNT(الرصد!$C115:$Y115)=0),"",IFERROR(SUMIF(معالجة!$B$3:$X$3,I$2,الرصد!$C115:$Y115)/SUMIF(معالجة!$B$3:$X$3,I$2,معالجة!$B$4:$X$4),""))</f>
        <v/>
      </c>
      <c r="J115" s="51" t="str">
        <f>IF(OR(J$2="",COUNT(الرصد!$C115:$Y115)=0),"",IFERROR(SUMIF(معالجة!$B$3:$X$3,J$2,الرصد!$C115:$Y115)/SUMIF(معالجة!$B$3:$X$3,J$2,معالجة!$B$4:$X$4),""))</f>
        <v/>
      </c>
      <c r="K115" s="51" t="str">
        <f>IF(OR(K$2="",COUNT(الرصد!$C115:$Y115)=0),"",IFERROR(SUMIF(معالجة!$B$3:$X$3,K$2,الرصد!$C115:$Y115)/SUMIF(معالجة!$B$3:$X$3,K$2,معالجة!$B$4:$X$4),""))</f>
        <v/>
      </c>
      <c r="L115" s="51" t="str">
        <f>IF(OR(L$2="",COUNT(الرصد!$C115:$Y115)=0),"",IFERROR(SUMIF(معالجة!$B$3:$X$3,L$2,الرصد!$C115:$Y115)/SUMIF(معالجة!$B$3:$X$3,L$2,معالجة!$B$4:$X$4),""))</f>
        <v/>
      </c>
      <c r="M115" s="51" t="str">
        <f>IF(OR(M$2="",COUNT(الرصد!$C115:$Y115)=0),"",IFERROR(SUMIF(معالجة!$B$3:$X$3,M$2,الرصد!$C115:$Y115)/SUMIF(معالجة!$B$3:$X$3,M$2,معالجة!$B$4:$X$4),""))</f>
        <v/>
      </c>
      <c r="N115" s="51" t="str">
        <f>IF(OR(N$2="",COUNT(الرصد!$C115:$Y115)=0),"",IFERROR(SUMIF(معالجة!$B$3:$X$3,N$2,الرصد!$C115:$Y115)/SUMIF(معالجة!$B$3:$X$3,N$2,معالجة!$B$4:$X$4),""))</f>
        <v/>
      </c>
      <c r="O115" s="51" t="str">
        <f>IF(OR(O$2="",COUNT(الرصد!$C115:$Y115)=0),"",IFERROR(SUMIF(معالجة!$B$3:$X$3,O$2,الرصد!$C115:$Y115)/SUMIF(معالجة!$B$3:$X$3,O$2,معالجة!$B$4:$X$4),""))</f>
        <v/>
      </c>
      <c r="P115" s="51" t="str">
        <f>IF(OR(P$2="",COUNT(الرصد!$C115:$Y115)=0),"",IFERROR(SUMIF(معالجة!$B$3:$X$3,P$2,الرصد!$C115:$Y115)/SUMIF(معالجة!$B$3:$X$3,P$2,معالجة!$B$4:$X$4),""))</f>
        <v/>
      </c>
      <c r="Q115" s="51" t="str">
        <f>IF(OR(Q$2="",COUNT(الرصد!$C115:$Y115)=0),"",IFERROR(SUMIF(معالجة!$B$3:$X$3,Q$2,الرصد!$C115:$Y115)/SUMIF(معالجة!$B$3:$X$3,Q$2,معالجة!$B$4:$X$4),""))</f>
        <v/>
      </c>
      <c r="R115" s="51" t="str">
        <f>IF(OR(R$2="",COUNT(الرصد!$C115:$Y115)=0),"",IFERROR(SUMIF(معالجة!$B$3:$X$3,R$2,الرصد!$C115:$Y115)/SUMIF(معالجة!$B$3:$X$3,R$2,معالجة!$B$4:$X$4),""))</f>
        <v/>
      </c>
      <c r="S115" s="51" t="str">
        <f>IF(OR(S$2="",COUNT(الرصد!$C115:$Y115)=0),"",IFERROR(SUMIF(معالجة!$B$3:$X$3,S$2,الرصد!$C115:$Y115)/SUMIF(معالجة!$B$3:$X$3,S$2,معالجة!$B$4:$X$4),""))</f>
        <v/>
      </c>
      <c r="T115" s="51" t="str">
        <f>IF(OR(T$2="",COUNT(الرصد!$C115:$Y115)=0),"",IFERROR(SUMIF(معالجة!$B$3:$X$3,T$2,الرصد!$C115:$Y115)/SUMIF(معالجة!$B$3:$X$3,T$2,معالجة!$B$4:$X$4),""))</f>
        <v/>
      </c>
      <c r="U115" s="51" t="str">
        <f>IF(OR(U$2="",COUNT(الرصد!$C115:$Y115)=0),"",IFERROR(SUMIF(معالجة!$B$3:$X$3,U$2,الرصد!$C115:$Y115)/SUMIF(معالجة!$B$3:$X$3,U$2,معالجة!$B$4:$X$4),""))</f>
        <v/>
      </c>
      <c r="V115" s="51" t="str">
        <f>IF(OR(V$2="",COUNT(الرصد!$C115:$Y115)=0),"",IFERROR(SUMIF(معالجة!$B$3:$X$3,V$2,الرصد!$C115:$Y115)/SUMIF(معالجة!$B$3:$X$3,V$2,معالجة!$B$4:$X$4),""))</f>
        <v/>
      </c>
      <c r="W115" s="51" t="str">
        <f>IFERROR(C115/المهارات!$G$27,"")</f>
        <v/>
      </c>
    </row>
    <row r="116" spans="1:23" ht="14.25" customHeight="1">
      <c r="A116" s="46" t="s">
        <v>185</v>
      </c>
      <c r="B116" s="46" t="s">
        <v>22</v>
      </c>
      <c r="C116" s="52" t="str">
        <f>IF(COUNT(الرصد!C116:Y116)=0,"",SUM(الرصد!C116:Y116))</f>
        <v/>
      </c>
      <c r="D116" s="51" t="str">
        <f>IF(OR(D$2="",COUNT(الرصد!$C116:$Y116)=0),"",IFERROR(SUMIF(معالجة!$B$3:$X$3,D$2,الرصد!$C116:$Y116)/SUMIF(معالجة!$B$3:$X$3,D$2,معالجة!$B$4:$X$4),""))</f>
        <v/>
      </c>
      <c r="E116" s="51" t="str">
        <f>IF(OR(E$2="",COUNT(الرصد!$C116:$Y116)=0),"",IFERROR(SUMIF(معالجة!$B$3:$X$3,E$2,الرصد!$C116:$Y116)/SUMIF(معالجة!$B$3:$X$3,E$2,معالجة!$B$4:$X$4),""))</f>
        <v/>
      </c>
      <c r="F116" s="51" t="str">
        <f>IF(OR(F$2="",COUNT(الرصد!$C116:$Y116)=0),"",IFERROR(SUMIF(معالجة!$B$3:$X$3,F$2,الرصد!$C116:$Y116)/SUMIF(معالجة!$B$3:$X$3,F$2,معالجة!$B$4:$X$4),""))</f>
        <v/>
      </c>
      <c r="G116" s="51" t="str">
        <f>IF(OR(G$2="",COUNT(الرصد!$C116:$Y116)=0),"",IFERROR(SUMIF(معالجة!$B$3:$X$3,G$2,الرصد!$C116:$Y116)/SUMIF(معالجة!$B$3:$X$3,G$2,معالجة!$B$4:$X$4),""))</f>
        <v/>
      </c>
      <c r="H116" s="51" t="str">
        <f>IF(OR(H$2="",COUNT(الرصد!$C116:$Y116)=0),"",IFERROR(SUMIF(معالجة!$B$3:$X$3,H$2,الرصد!$C116:$Y116)/SUMIF(معالجة!$B$3:$X$3,H$2,معالجة!$B$4:$X$4),""))</f>
        <v/>
      </c>
      <c r="I116" s="51" t="str">
        <f>IF(OR(I$2="",COUNT(الرصد!$C116:$Y116)=0),"",IFERROR(SUMIF(معالجة!$B$3:$X$3,I$2,الرصد!$C116:$Y116)/SUMIF(معالجة!$B$3:$X$3,I$2,معالجة!$B$4:$X$4),""))</f>
        <v/>
      </c>
      <c r="J116" s="51" t="str">
        <f>IF(OR(J$2="",COUNT(الرصد!$C116:$Y116)=0),"",IFERROR(SUMIF(معالجة!$B$3:$X$3,J$2,الرصد!$C116:$Y116)/SUMIF(معالجة!$B$3:$X$3,J$2,معالجة!$B$4:$X$4),""))</f>
        <v/>
      </c>
      <c r="K116" s="51" t="str">
        <f>IF(OR(K$2="",COUNT(الرصد!$C116:$Y116)=0),"",IFERROR(SUMIF(معالجة!$B$3:$X$3,K$2,الرصد!$C116:$Y116)/SUMIF(معالجة!$B$3:$X$3,K$2,معالجة!$B$4:$X$4),""))</f>
        <v/>
      </c>
      <c r="L116" s="51" t="str">
        <f>IF(OR(L$2="",COUNT(الرصد!$C116:$Y116)=0),"",IFERROR(SUMIF(معالجة!$B$3:$X$3,L$2,الرصد!$C116:$Y116)/SUMIF(معالجة!$B$3:$X$3,L$2,معالجة!$B$4:$X$4),""))</f>
        <v/>
      </c>
      <c r="M116" s="51" t="str">
        <f>IF(OR(M$2="",COUNT(الرصد!$C116:$Y116)=0),"",IFERROR(SUMIF(معالجة!$B$3:$X$3,M$2,الرصد!$C116:$Y116)/SUMIF(معالجة!$B$3:$X$3,M$2,معالجة!$B$4:$X$4),""))</f>
        <v/>
      </c>
      <c r="N116" s="51" t="str">
        <f>IF(OR(N$2="",COUNT(الرصد!$C116:$Y116)=0),"",IFERROR(SUMIF(معالجة!$B$3:$X$3,N$2,الرصد!$C116:$Y116)/SUMIF(معالجة!$B$3:$X$3,N$2,معالجة!$B$4:$X$4),""))</f>
        <v/>
      </c>
      <c r="O116" s="51" t="str">
        <f>IF(OR(O$2="",COUNT(الرصد!$C116:$Y116)=0),"",IFERROR(SUMIF(معالجة!$B$3:$X$3,O$2,الرصد!$C116:$Y116)/SUMIF(معالجة!$B$3:$X$3,O$2,معالجة!$B$4:$X$4),""))</f>
        <v/>
      </c>
      <c r="P116" s="51" t="str">
        <f>IF(OR(P$2="",COUNT(الرصد!$C116:$Y116)=0),"",IFERROR(SUMIF(معالجة!$B$3:$X$3,P$2,الرصد!$C116:$Y116)/SUMIF(معالجة!$B$3:$X$3,P$2,معالجة!$B$4:$X$4),""))</f>
        <v/>
      </c>
      <c r="Q116" s="51" t="str">
        <f>IF(OR(Q$2="",COUNT(الرصد!$C116:$Y116)=0),"",IFERROR(SUMIF(معالجة!$B$3:$X$3,Q$2,الرصد!$C116:$Y116)/SUMIF(معالجة!$B$3:$X$3,Q$2,معالجة!$B$4:$X$4),""))</f>
        <v/>
      </c>
      <c r="R116" s="51" t="str">
        <f>IF(OR(R$2="",COUNT(الرصد!$C116:$Y116)=0),"",IFERROR(SUMIF(معالجة!$B$3:$X$3,R$2,الرصد!$C116:$Y116)/SUMIF(معالجة!$B$3:$X$3,R$2,معالجة!$B$4:$X$4),""))</f>
        <v/>
      </c>
      <c r="S116" s="51" t="str">
        <f>IF(OR(S$2="",COUNT(الرصد!$C116:$Y116)=0),"",IFERROR(SUMIF(معالجة!$B$3:$X$3,S$2,الرصد!$C116:$Y116)/SUMIF(معالجة!$B$3:$X$3,S$2,معالجة!$B$4:$X$4),""))</f>
        <v/>
      </c>
      <c r="T116" s="51" t="str">
        <f>IF(OR(T$2="",COUNT(الرصد!$C116:$Y116)=0),"",IFERROR(SUMIF(معالجة!$B$3:$X$3,T$2,الرصد!$C116:$Y116)/SUMIF(معالجة!$B$3:$X$3,T$2,معالجة!$B$4:$X$4),""))</f>
        <v/>
      </c>
      <c r="U116" s="51" t="str">
        <f>IF(OR(U$2="",COUNT(الرصد!$C116:$Y116)=0),"",IFERROR(SUMIF(معالجة!$B$3:$X$3,U$2,الرصد!$C116:$Y116)/SUMIF(معالجة!$B$3:$X$3,U$2,معالجة!$B$4:$X$4),""))</f>
        <v/>
      </c>
      <c r="V116" s="51" t="str">
        <f>IF(OR(V$2="",COUNT(الرصد!$C116:$Y116)=0),"",IFERROR(SUMIF(معالجة!$B$3:$X$3,V$2,الرصد!$C116:$Y116)/SUMIF(معالجة!$B$3:$X$3,V$2,معالجة!$B$4:$X$4),""))</f>
        <v/>
      </c>
      <c r="W116" s="51" t="str">
        <f>IFERROR(C116/المهارات!$G$27,"")</f>
        <v/>
      </c>
    </row>
    <row r="117" spans="1:23" ht="14.25" customHeight="1">
      <c r="A117" s="42" t="s">
        <v>186</v>
      </c>
      <c r="B117" s="42" t="s">
        <v>22</v>
      </c>
      <c r="C117" s="50" t="str">
        <f>IF(COUNT(الرصد!C117:Y117)=0,"",SUM(الرصد!C117:Y117))</f>
        <v/>
      </c>
      <c r="D117" s="51" t="str">
        <f>IF(OR(D$2="",COUNT(الرصد!$C117:$Y117)=0),"",IFERROR(SUMIF(معالجة!$B$3:$X$3,D$2,الرصد!$C117:$Y117)/SUMIF(معالجة!$B$3:$X$3,D$2,معالجة!$B$4:$X$4),""))</f>
        <v/>
      </c>
      <c r="E117" s="51" t="str">
        <f>IF(OR(E$2="",COUNT(الرصد!$C117:$Y117)=0),"",IFERROR(SUMIF(معالجة!$B$3:$X$3,E$2,الرصد!$C117:$Y117)/SUMIF(معالجة!$B$3:$X$3,E$2,معالجة!$B$4:$X$4),""))</f>
        <v/>
      </c>
      <c r="F117" s="51" t="str">
        <f>IF(OR(F$2="",COUNT(الرصد!$C117:$Y117)=0),"",IFERROR(SUMIF(معالجة!$B$3:$X$3,F$2,الرصد!$C117:$Y117)/SUMIF(معالجة!$B$3:$X$3,F$2,معالجة!$B$4:$X$4),""))</f>
        <v/>
      </c>
      <c r="G117" s="51" t="str">
        <f>IF(OR(G$2="",COUNT(الرصد!$C117:$Y117)=0),"",IFERROR(SUMIF(معالجة!$B$3:$X$3,G$2,الرصد!$C117:$Y117)/SUMIF(معالجة!$B$3:$X$3,G$2,معالجة!$B$4:$X$4),""))</f>
        <v/>
      </c>
      <c r="H117" s="51" t="str">
        <f>IF(OR(H$2="",COUNT(الرصد!$C117:$Y117)=0),"",IFERROR(SUMIF(معالجة!$B$3:$X$3,H$2,الرصد!$C117:$Y117)/SUMIF(معالجة!$B$3:$X$3,H$2,معالجة!$B$4:$X$4),""))</f>
        <v/>
      </c>
      <c r="I117" s="51" t="str">
        <f>IF(OR(I$2="",COUNT(الرصد!$C117:$Y117)=0),"",IFERROR(SUMIF(معالجة!$B$3:$X$3,I$2,الرصد!$C117:$Y117)/SUMIF(معالجة!$B$3:$X$3,I$2,معالجة!$B$4:$X$4),""))</f>
        <v/>
      </c>
      <c r="J117" s="51" t="str">
        <f>IF(OR(J$2="",COUNT(الرصد!$C117:$Y117)=0),"",IFERROR(SUMIF(معالجة!$B$3:$X$3,J$2,الرصد!$C117:$Y117)/SUMIF(معالجة!$B$3:$X$3,J$2,معالجة!$B$4:$X$4),""))</f>
        <v/>
      </c>
      <c r="K117" s="51" t="str">
        <f>IF(OR(K$2="",COUNT(الرصد!$C117:$Y117)=0),"",IFERROR(SUMIF(معالجة!$B$3:$X$3,K$2,الرصد!$C117:$Y117)/SUMIF(معالجة!$B$3:$X$3,K$2,معالجة!$B$4:$X$4),""))</f>
        <v/>
      </c>
      <c r="L117" s="51" t="str">
        <f>IF(OR(L$2="",COUNT(الرصد!$C117:$Y117)=0),"",IFERROR(SUMIF(معالجة!$B$3:$X$3,L$2,الرصد!$C117:$Y117)/SUMIF(معالجة!$B$3:$X$3,L$2,معالجة!$B$4:$X$4),""))</f>
        <v/>
      </c>
      <c r="M117" s="51" t="str">
        <f>IF(OR(M$2="",COUNT(الرصد!$C117:$Y117)=0),"",IFERROR(SUMIF(معالجة!$B$3:$X$3,M$2,الرصد!$C117:$Y117)/SUMIF(معالجة!$B$3:$X$3,M$2,معالجة!$B$4:$X$4),""))</f>
        <v/>
      </c>
      <c r="N117" s="51" t="str">
        <f>IF(OR(N$2="",COUNT(الرصد!$C117:$Y117)=0),"",IFERROR(SUMIF(معالجة!$B$3:$X$3,N$2,الرصد!$C117:$Y117)/SUMIF(معالجة!$B$3:$X$3,N$2,معالجة!$B$4:$X$4),""))</f>
        <v/>
      </c>
      <c r="O117" s="51" t="str">
        <f>IF(OR(O$2="",COUNT(الرصد!$C117:$Y117)=0),"",IFERROR(SUMIF(معالجة!$B$3:$X$3,O$2,الرصد!$C117:$Y117)/SUMIF(معالجة!$B$3:$X$3,O$2,معالجة!$B$4:$X$4),""))</f>
        <v/>
      </c>
      <c r="P117" s="51" t="str">
        <f>IF(OR(P$2="",COUNT(الرصد!$C117:$Y117)=0),"",IFERROR(SUMIF(معالجة!$B$3:$X$3,P$2,الرصد!$C117:$Y117)/SUMIF(معالجة!$B$3:$X$3,P$2,معالجة!$B$4:$X$4),""))</f>
        <v/>
      </c>
      <c r="Q117" s="51" t="str">
        <f>IF(OR(Q$2="",COUNT(الرصد!$C117:$Y117)=0),"",IFERROR(SUMIF(معالجة!$B$3:$X$3,Q$2,الرصد!$C117:$Y117)/SUMIF(معالجة!$B$3:$X$3,Q$2,معالجة!$B$4:$X$4),""))</f>
        <v/>
      </c>
      <c r="R117" s="51" t="str">
        <f>IF(OR(R$2="",COUNT(الرصد!$C117:$Y117)=0),"",IFERROR(SUMIF(معالجة!$B$3:$X$3,R$2,الرصد!$C117:$Y117)/SUMIF(معالجة!$B$3:$X$3,R$2,معالجة!$B$4:$X$4),""))</f>
        <v/>
      </c>
      <c r="S117" s="51" t="str">
        <f>IF(OR(S$2="",COUNT(الرصد!$C117:$Y117)=0),"",IFERROR(SUMIF(معالجة!$B$3:$X$3,S$2,الرصد!$C117:$Y117)/SUMIF(معالجة!$B$3:$X$3,S$2,معالجة!$B$4:$X$4),""))</f>
        <v/>
      </c>
      <c r="T117" s="51" t="str">
        <f>IF(OR(T$2="",COUNT(الرصد!$C117:$Y117)=0),"",IFERROR(SUMIF(معالجة!$B$3:$X$3,T$2,الرصد!$C117:$Y117)/SUMIF(معالجة!$B$3:$X$3,T$2,معالجة!$B$4:$X$4),""))</f>
        <v/>
      </c>
      <c r="U117" s="51" t="str">
        <f>IF(OR(U$2="",COUNT(الرصد!$C117:$Y117)=0),"",IFERROR(SUMIF(معالجة!$B$3:$X$3,U$2,الرصد!$C117:$Y117)/SUMIF(معالجة!$B$3:$X$3,U$2,معالجة!$B$4:$X$4),""))</f>
        <v/>
      </c>
      <c r="V117" s="51" t="str">
        <f>IF(OR(V$2="",COUNT(الرصد!$C117:$Y117)=0),"",IFERROR(SUMIF(معالجة!$B$3:$X$3,V$2,الرصد!$C117:$Y117)/SUMIF(معالجة!$B$3:$X$3,V$2,معالجة!$B$4:$X$4),""))</f>
        <v/>
      </c>
      <c r="W117" s="51" t="str">
        <f>IFERROR(C117/المهارات!$G$27,"")</f>
        <v/>
      </c>
    </row>
    <row r="118" spans="1:23" ht="14.25" customHeight="1">
      <c r="A118" s="46" t="s">
        <v>187</v>
      </c>
      <c r="B118" s="46" t="s">
        <v>22</v>
      </c>
      <c r="C118" s="52" t="str">
        <f>IF(COUNT(الرصد!C118:Y118)=0,"",SUM(الرصد!C118:Y118))</f>
        <v/>
      </c>
      <c r="D118" s="51" t="str">
        <f>IF(OR(D$2="",COUNT(الرصد!$C118:$Y118)=0),"",IFERROR(SUMIF(معالجة!$B$3:$X$3,D$2,الرصد!$C118:$Y118)/SUMIF(معالجة!$B$3:$X$3,D$2,معالجة!$B$4:$X$4),""))</f>
        <v/>
      </c>
      <c r="E118" s="51" t="str">
        <f>IF(OR(E$2="",COUNT(الرصد!$C118:$Y118)=0),"",IFERROR(SUMIF(معالجة!$B$3:$X$3,E$2,الرصد!$C118:$Y118)/SUMIF(معالجة!$B$3:$X$3,E$2,معالجة!$B$4:$X$4),""))</f>
        <v/>
      </c>
      <c r="F118" s="51" t="str">
        <f>IF(OR(F$2="",COUNT(الرصد!$C118:$Y118)=0),"",IFERROR(SUMIF(معالجة!$B$3:$X$3,F$2,الرصد!$C118:$Y118)/SUMIF(معالجة!$B$3:$X$3,F$2,معالجة!$B$4:$X$4),""))</f>
        <v/>
      </c>
      <c r="G118" s="51" t="str">
        <f>IF(OR(G$2="",COUNT(الرصد!$C118:$Y118)=0),"",IFERROR(SUMIF(معالجة!$B$3:$X$3,G$2,الرصد!$C118:$Y118)/SUMIF(معالجة!$B$3:$X$3,G$2,معالجة!$B$4:$X$4),""))</f>
        <v/>
      </c>
      <c r="H118" s="51" t="str">
        <f>IF(OR(H$2="",COUNT(الرصد!$C118:$Y118)=0),"",IFERROR(SUMIF(معالجة!$B$3:$X$3,H$2,الرصد!$C118:$Y118)/SUMIF(معالجة!$B$3:$X$3,H$2,معالجة!$B$4:$X$4),""))</f>
        <v/>
      </c>
      <c r="I118" s="51" t="str">
        <f>IF(OR(I$2="",COUNT(الرصد!$C118:$Y118)=0),"",IFERROR(SUMIF(معالجة!$B$3:$X$3,I$2,الرصد!$C118:$Y118)/SUMIF(معالجة!$B$3:$X$3,I$2,معالجة!$B$4:$X$4),""))</f>
        <v/>
      </c>
      <c r="J118" s="51" t="str">
        <f>IF(OR(J$2="",COUNT(الرصد!$C118:$Y118)=0),"",IFERROR(SUMIF(معالجة!$B$3:$X$3,J$2,الرصد!$C118:$Y118)/SUMIF(معالجة!$B$3:$X$3,J$2,معالجة!$B$4:$X$4),""))</f>
        <v/>
      </c>
      <c r="K118" s="51" t="str">
        <f>IF(OR(K$2="",COUNT(الرصد!$C118:$Y118)=0),"",IFERROR(SUMIF(معالجة!$B$3:$X$3,K$2,الرصد!$C118:$Y118)/SUMIF(معالجة!$B$3:$X$3,K$2,معالجة!$B$4:$X$4),""))</f>
        <v/>
      </c>
      <c r="L118" s="51" t="str">
        <f>IF(OR(L$2="",COUNT(الرصد!$C118:$Y118)=0),"",IFERROR(SUMIF(معالجة!$B$3:$X$3,L$2,الرصد!$C118:$Y118)/SUMIF(معالجة!$B$3:$X$3,L$2,معالجة!$B$4:$X$4),""))</f>
        <v/>
      </c>
      <c r="M118" s="51" t="str">
        <f>IF(OR(M$2="",COUNT(الرصد!$C118:$Y118)=0),"",IFERROR(SUMIF(معالجة!$B$3:$X$3,M$2,الرصد!$C118:$Y118)/SUMIF(معالجة!$B$3:$X$3,M$2,معالجة!$B$4:$X$4),""))</f>
        <v/>
      </c>
      <c r="N118" s="51" t="str">
        <f>IF(OR(N$2="",COUNT(الرصد!$C118:$Y118)=0),"",IFERROR(SUMIF(معالجة!$B$3:$X$3,N$2,الرصد!$C118:$Y118)/SUMIF(معالجة!$B$3:$X$3,N$2,معالجة!$B$4:$X$4),""))</f>
        <v/>
      </c>
      <c r="O118" s="51" t="str">
        <f>IF(OR(O$2="",COUNT(الرصد!$C118:$Y118)=0),"",IFERROR(SUMIF(معالجة!$B$3:$X$3,O$2,الرصد!$C118:$Y118)/SUMIF(معالجة!$B$3:$X$3,O$2,معالجة!$B$4:$X$4),""))</f>
        <v/>
      </c>
      <c r="P118" s="51" t="str">
        <f>IF(OR(P$2="",COUNT(الرصد!$C118:$Y118)=0),"",IFERROR(SUMIF(معالجة!$B$3:$X$3,P$2,الرصد!$C118:$Y118)/SUMIF(معالجة!$B$3:$X$3,P$2,معالجة!$B$4:$X$4),""))</f>
        <v/>
      </c>
      <c r="Q118" s="51" t="str">
        <f>IF(OR(Q$2="",COUNT(الرصد!$C118:$Y118)=0),"",IFERROR(SUMIF(معالجة!$B$3:$X$3,Q$2,الرصد!$C118:$Y118)/SUMIF(معالجة!$B$3:$X$3,Q$2,معالجة!$B$4:$X$4),""))</f>
        <v/>
      </c>
      <c r="R118" s="51" t="str">
        <f>IF(OR(R$2="",COUNT(الرصد!$C118:$Y118)=0),"",IFERROR(SUMIF(معالجة!$B$3:$X$3,R$2,الرصد!$C118:$Y118)/SUMIF(معالجة!$B$3:$X$3,R$2,معالجة!$B$4:$X$4),""))</f>
        <v/>
      </c>
      <c r="S118" s="51" t="str">
        <f>IF(OR(S$2="",COUNT(الرصد!$C118:$Y118)=0),"",IFERROR(SUMIF(معالجة!$B$3:$X$3,S$2,الرصد!$C118:$Y118)/SUMIF(معالجة!$B$3:$X$3,S$2,معالجة!$B$4:$X$4),""))</f>
        <v/>
      </c>
      <c r="T118" s="51" t="str">
        <f>IF(OR(T$2="",COUNT(الرصد!$C118:$Y118)=0),"",IFERROR(SUMIF(معالجة!$B$3:$X$3,T$2,الرصد!$C118:$Y118)/SUMIF(معالجة!$B$3:$X$3,T$2,معالجة!$B$4:$X$4),""))</f>
        <v/>
      </c>
      <c r="U118" s="51" t="str">
        <f>IF(OR(U$2="",COUNT(الرصد!$C118:$Y118)=0),"",IFERROR(SUMIF(معالجة!$B$3:$X$3,U$2,الرصد!$C118:$Y118)/SUMIF(معالجة!$B$3:$X$3,U$2,معالجة!$B$4:$X$4),""))</f>
        <v/>
      </c>
      <c r="V118" s="51" t="str">
        <f>IF(OR(V$2="",COUNT(الرصد!$C118:$Y118)=0),"",IFERROR(SUMIF(معالجة!$B$3:$X$3,V$2,الرصد!$C118:$Y118)/SUMIF(معالجة!$B$3:$X$3,V$2,معالجة!$B$4:$X$4),""))</f>
        <v/>
      </c>
      <c r="W118" s="51" t="str">
        <f>IFERROR(C118/المهارات!$G$27,"")</f>
        <v/>
      </c>
    </row>
    <row r="119" spans="1:23" ht="14.25" customHeight="1">
      <c r="A119" s="42" t="s">
        <v>188</v>
      </c>
      <c r="B119" s="42" t="s">
        <v>22</v>
      </c>
      <c r="C119" s="50" t="str">
        <f>IF(COUNT(الرصد!C119:Y119)=0,"",SUM(الرصد!C119:Y119))</f>
        <v/>
      </c>
      <c r="D119" s="51" t="str">
        <f>IF(OR(D$2="",COUNT(الرصد!$C119:$Y119)=0),"",IFERROR(SUMIF(معالجة!$B$3:$X$3,D$2,الرصد!$C119:$Y119)/SUMIF(معالجة!$B$3:$X$3,D$2,معالجة!$B$4:$X$4),""))</f>
        <v/>
      </c>
      <c r="E119" s="51" t="str">
        <f>IF(OR(E$2="",COUNT(الرصد!$C119:$Y119)=0),"",IFERROR(SUMIF(معالجة!$B$3:$X$3,E$2,الرصد!$C119:$Y119)/SUMIF(معالجة!$B$3:$X$3,E$2,معالجة!$B$4:$X$4),""))</f>
        <v/>
      </c>
      <c r="F119" s="51" t="str">
        <f>IF(OR(F$2="",COUNT(الرصد!$C119:$Y119)=0),"",IFERROR(SUMIF(معالجة!$B$3:$X$3,F$2,الرصد!$C119:$Y119)/SUMIF(معالجة!$B$3:$X$3,F$2,معالجة!$B$4:$X$4),""))</f>
        <v/>
      </c>
      <c r="G119" s="51" t="str">
        <f>IF(OR(G$2="",COUNT(الرصد!$C119:$Y119)=0),"",IFERROR(SUMIF(معالجة!$B$3:$X$3,G$2,الرصد!$C119:$Y119)/SUMIF(معالجة!$B$3:$X$3,G$2,معالجة!$B$4:$X$4),""))</f>
        <v/>
      </c>
      <c r="H119" s="51" t="str">
        <f>IF(OR(H$2="",COUNT(الرصد!$C119:$Y119)=0),"",IFERROR(SUMIF(معالجة!$B$3:$X$3,H$2,الرصد!$C119:$Y119)/SUMIF(معالجة!$B$3:$X$3,H$2,معالجة!$B$4:$X$4),""))</f>
        <v/>
      </c>
      <c r="I119" s="51" t="str">
        <f>IF(OR(I$2="",COUNT(الرصد!$C119:$Y119)=0),"",IFERROR(SUMIF(معالجة!$B$3:$X$3,I$2,الرصد!$C119:$Y119)/SUMIF(معالجة!$B$3:$X$3,I$2,معالجة!$B$4:$X$4),""))</f>
        <v/>
      </c>
      <c r="J119" s="51" t="str">
        <f>IF(OR(J$2="",COUNT(الرصد!$C119:$Y119)=0),"",IFERROR(SUMIF(معالجة!$B$3:$X$3,J$2,الرصد!$C119:$Y119)/SUMIF(معالجة!$B$3:$X$3,J$2,معالجة!$B$4:$X$4),""))</f>
        <v/>
      </c>
      <c r="K119" s="51" t="str">
        <f>IF(OR(K$2="",COUNT(الرصد!$C119:$Y119)=0),"",IFERROR(SUMIF(معالجة!$B$3:$X$3,K$2,الرصد!$C119:$Y119)/SUMIF(معالجة!$B$3:$X$3,K$2,معالجة!$B$4:$X$4),""))</f>
        <v/>
      </c>
      <c r="L119" s="51" t="str">
        <f>IF(OR(L$2="",COUNT(الرصد!$C119:$Y119)=0),"",IFERROR(SUMIF(معالجة!$B$3:$X$3,L$2,الرصد!$C119:$Y119)/SUMIF(معالجة!$B$3:$X$3,L$2,معالجة!$B$4:$X$4),""))</f>
        <v/>
      </c>
      <c r="M119" s="51" t="str">
        <f>IF(OR(M$2="",COUNT(الرصد!$C119:$Y119)=0),"",IFERROR(SUMIF(معالجة!$B$3:$X$3,M$2,الرصد!$C119:$Y119)/SUMIF(معالجة!$B$3:$X$3,M$2,معالجة!$B$4:$X$4),""))</f>
        <v/>
      </c>
      <c r="N119" s="51" t="str">
        <f>IF(OR(N$2="",COUNT(الرصد!$C119:$Y119)=0),"",IFERROR(SUMIF(معالجة!$B$3:$X$3,N$2,الرصد!$C119:$Y119)/SUMIF(معالجة!$B$3:$X$3,N$2,معالجة!$B$4:$X$4),""))</f>
        <v/>
      </c>
      <c r="O119" s="51" t="str">
        <f>IF(OR(O$2="",COUNT(الرصد!$C119:$Y119)=0),"",IFERROR(SUMIF(معالجة!$B$3:$X$3,O$2,الرصد!$C119:$Y119)/SUMIF(معالجة!$B$3:$X$3,O$2,معالجة!$B$4:$X$4),""))</f>
        <v/>
      </c>
      <c r="P119" s="51" t="str">
        <f>IF(OR(P$2="",COUNT(الرصد!$C119:$Y119)=0),"",IFERROR(SUMIF(معالجة!$B$3:$X$3,P$2,الرصد!$C119:$Y119)/SUMIF(معالجة!$B$3:$X$3,P$2,معالجة!$B$4:$X$4),""))</f>
        <v/>
      </c>
      <c r="Q119" s="51" t="str">
        <f>IF(OR(Q$2="",COUNT(الرصد!$C119:$Y119)=0),"",IFERROR(SUMIF(معالجة!$B$3:$X$3,Q$2,الرصد!$C119:$Y119)/SUMIF(معالجة!$B$3:$X$3,Q$2,معالجة!$B$4:$X$4),""))</f>
        <v/>
      </c>
      <c r="R119" s="51" t="str">
        <f>IF(OR(R$2="",COUNT(الرصد!$C119:$Y119)=0),"",IFERROR(SUMIF(معالجة!$B$3:$X$3,R$2,الرصد!$C119:$Y119)/SUMIF(معالجة!$B$3:$X$3,R$2,معالجة!$B$4:$X$4),""))</f>
        <v/>
      </c>
      <c r="S119" s="51" t="str">
        <f>IF(OR(S$2="",COUNT(الرصد!$C119:$Y119)=0),"",IFERROR(SUMIF(معالجة!$B$3:$X$3,S$2,الرصد!$C119:$Y119)/SUMIF(معالجة!$B$3:$X$3,S$2,معالجة!$B$4:$X$4),""))</f>
        <v/>
      </c>
      <c r="T119" s="51" t="str">
        <f>IF(OR(T$2="",COUNT(الرصد!$C119:$Y119)=0),"",IFERROR(SUMIF(معالجة!$B$3:$X$3,T$2,الرصد!$C119:$Y119)/SUMIF(معالجة!$B$3:$X$3,T$2,معالجة!$B$4:$X$4),""))</f>
        <v/>
      </c>
      <c r="U119" s="51" t="str">
        <f>IF(OR(U$2="",COUNT(الرصد!$C119:$Y119)=0),"",IFERROR(SUMIF(معالجة!$B$3:$X$3,U$2,الرصد!$C119:$Y119)/SUMIF(معالجة!$B$3:$X$3,U$2,معالجة!$B$4:$X$4),""))</f>
        <v/>
      </c>
      <c r="V119" s="51" t="str">
        <f>IF(OR(V$2="",COUNT(الرصد!$C119:$Y119)=0),"",IFERROR(SUMIF(معالجة!$B$3:$X$3,V$2,الرصد!$C119:$Y119)/SUMIF(معالجة!$B$3:$X$3,V$2,معالجة!$B$4:$X$4),""))</f>
        <v/>
      </c>
      <c r="W119" s="51" t="str">
        <f>IFERROR(C119/المهارات!$G$27,"")</f>
        <v/>
      </c>
    </row>
    <row r="120" spans="1:23" ht="14.25" customHeight="1">
      <c r="A120" s="46" t="s">
        <v>189</v>
      </c>
      <c r="B120" s="46" t="s">
        <v>22</v>
      </c>
      <c r="C120" s="52" t="str">
        <f>IF(COUNT(الرصد!C120:Y120)=0,"",SUM(الرصد!C120:Y120))</f>
        <v/>
      </c>
      <c r="D120" s="51" t="str">
        <f>IF(OR(D$2="",COUNT(الرصد!$C120:$Y120)=0),"",IFERROR(SUMIF(معالجة!$B$3:$X$3,D$2,الرصد!$C120:$Y120)/SUMIF(معالجة!$B$3:$X$3,D$2,معالجة!$B$4:$X$4),""))</f>
        <v/>
      </c>
      <c r="E120" s="51" t="str">
        <f>IF(OR(E$2="",COUNT(الرصد!$C120:$Y120)=0),"",IFERROR(SUMIF(معالجة!$B$3:$X$3,E$2,الرصد!$C120:$Y120)/SUMIF(معالجة!$B$3:$X$3,E$2,معالجة!$B$4:$X$4),""))</f>
        <v/>
      </c>
      <c r="F120" s="51" t="str">
        <f>IF(OR(F$2="",COUNT(الرصد!$C120:$Y120)=0),"",IFERROR(SUMIF(معالجة!$B$3:$X$3,F$2,الرصد!$C120:$Y120)/SUMIF(معالجة!$B$3:$X$3,F$2,معالجة!$B$4:$X$4),""))</f>
        <v/>
      </c>
      <c r="G120" s="51" t="str">
        <f>IF(OR(G$2="",COUNT(الرصد!$C120:$Y120)=0),"",IFERROR(SUMIF(معالجة!$B$3:$X$3,G$2,الرصد!$C120:$Y120)/SUMIF(معالجة!$B$3:$X$3,G$2,معالجة!$B$4:$X$4),""))</f>
        <v/>
      </c>
      <c r="H120" s="51" t="str">
        <f>IF(OR(H$2="",COUNT(الرصد!$C120:$Y120)=0),"",IFERROR(SUMIF(معالجة!$B$3:$X$3,H$2,الرصد!$C120:$Y120)/SUMIF(معالجة!$B$3:$X$3,H$2,معالجة!$B$4:$X$4),""))</f>
        <v/>
      </c>
      <c r="I120" s="51" t="str">
        <f>IF(OR(I$2="",COUNT(الرصد!$C120:$Y120)=0),"",IFERROR(SUMIF(معالجة!$B$3:$X$3,I$2,الرصد!$C120:$Y120)/SUMIF(معالجة!$B$3:$X$3,I$2,معالجة!$B$4:$X$4),""))</f>
        <v/>
      </c>
      <c r="J120" s="51" t="str">
        <f>IF(OR(J$2="",COUNT(الرصد!$C120:$Y120)=0),"",IFERROR(SUMIF(معالجة!$B$3:$X$3,J$2,الرصد!$C120:$Y120)/SUMIF(معالجة!$B$3:$X$3,J$2,معالجة!$B$4:$X$4),""))</f>
        <v/>
      </c>
      <c r="K120" s="51" t="str">
        <f>IF(OR(K$2="",COUNT(الرصد!$C120:$Y120)=0),"",IFERROR(SUMIF(معالجة!$B$3:$X$3,K$2,الرصد!$C120:$Y120)/SUMIF(معالجة!$B$3:$X$3,K$2,معالجة!$B$4:$X$4),""))</f>
        <v/>
      </c>
      <c r="L120" s="51" t="str">
        <f>IF(OR(L$2="",COUNT(الرصد!$C120:$Y120)=0),"",IFERROR(SUMIF(معالجة!$B$3:$X$3,L$2,الرصد!$C120:$Y120)/SUMIF(معالجة!$B$3:$X$3,L$2,معالجة!$B$4:$X$4),""))</f>
        <v/>
      </c>
      <c r="M120" s="51" t="str">
        <f>IF(OR(M$2="",COUNT(الرصد!$C120:$Y120)=0),"",IFERROR(SUMIF(معالجة!$B$3:$X$3,M$2,الرصد!$C120:$Y120)/SUMIF(معالجة!$B$3:$X$3,M$2,معالجة!$B$4:$X$4),""))</f>
        <v/>
      </c>
      <c r="N120" s="51" t="str">
        <f>IF(OR(N$2="",COUNT(الرصد!$C120:$Y120)=0),"",IFERROR(SUMIF(معالجة!$B$3:$X$3,N$2,الرصد!$C120:$Y120)/SUMIF(معالجة!$B$3:$X$3,N$2,معالجة!$B$4:$X$4),""))</f>
        <v/>
      </c>
      <c r="O120" s="51" t="str">
        <f>IF(OR(O$2="",COUNT(الرصد!$C120:$Y120)=0),"",IFERROR(SUMIF(معالجة!$B$3:$X$3,O$2,الرصد!$C120:$Y120)/SUMIF(معالجة!$B$3:$X$3,O$2,معالجة!$B$4:$X$4),""))</f>
        <v/>
      </c>
      <c r="P120" s="51" t="str">
        <f>IF(OR(P$2="",COUNT(الرصد!$C120:$Y120)=0),"",IFERROR(SUMIF(معالجة!$B$3:$X$3,P$2,الرصد!$C120:$Y120)/SUMIF(معالجة!$B$3:$X$3,P$2,معالجة!$B$4:$X$4),""))</f>
        <v/>
      </c>
      <c r="Q120" s="51" t="str">
        <f>IF(OR(Q$2="",COUNT(الرصد!$C120:$Y120)=0),"",IFERROR(SUMIF(معالجة!$B$3:$X$3,Q$2,الرصد!$C120:$Y120)/SUMIF(معالجة!$B$3:$X$3,Q$2,معالجة!$B$4:$X$4),""))</f>
        <v/>
      </c>
      <c r="R120" s="51" t="str">
        <f>IF(OR(R$2="",COUNT(الرصد!$C120:$Y120)=0),"",IFERROR(SUMIF(معالجة!$B$3:$X$3,R$2,الرصد!$C120:$Y120)/SUMIF(معالجة!$B$3:$X$3,R$2,معالجة!$B$4:$X$4),""))</f>
        <v/>
      </c>
      <c r="S120" s="51" t="str">
        <f>IF(OR(S$2="",COUNT(الرصد!$C120:$Y120)=0),"",IFERROR(SUMIF(معالجة!$B$3:$X$3,S$2,الرصد!$C120:$Y120)/SUMIF(معالجة!$B$3:$X$3,S$2,معالجة!$B$4:$X$4),""))</f>
        <v/>
      </c>
      <c r="T120" s="51" t="str">
        <f>IF(OR(T$2="",COUNT(الرصد!$C120:$Y120)=0),"",IFERROR(SUMIF(معالجة!$B$3:$X$3,T$2,الرصد!$C120:$Y120)/SUMIF(معالجة!$B$3:$X$3,T$2,معالجة!$B$4:$X$4),""))</f>
        <v/>
      </c>
      <c r="U120" s="51" t="str">
        <f>IF(OR(U$2="",COUNT(الرصد!$C120:$Y120)=0),"",IFERROR(SUMIF(معالجة!$B$3:$X$3,U$2,الرصد!$C120:$Y120)/SUMIF(معالجة!$B$3:$X$3,U$2,معالجة!$B$4:$X$4),""))</f>
        <v/>
      </c>
      <c r="V120" s="51" t="str">
        <f>IF(OR(V$2="",COUNT(الرصد!$C120:$Y120)=0),"",IFERROR(SUMIF(معالجة!$B$3:$X$3,V$2,الرصد!$C120:$Y120)/SUMIF(معالجة!$B$3:$X$3,V$2,معالجة!$B$4:$X$4),""))</f>
        <v/>
      </c>
      <c r="W120" s="51" t="str">
        <f>IFERROR(C120/المهارات!$G$27,"")</f>
        <v/>
      </c>
    </row>
    <row r="121" spans="1:23" ht="14.25" customHeight="1">
      <c r="A121" s="42" t="s">
        <v>190</v>
      </c>
      <c r="B121" s="42" t="s">
        <v>22</v>
      </c>
      <c r="C121" s="50" t="str">
        <f>IF(COUNT(الرصد!C121:Y121)=0,"",SUM(الرصد!C121:Y121))</f>
        <v/>
      </c>
      <c r="D121" s="51" t="str">
        <f>IF(OR(D$2="",COUNT(الرصد!$C121:$Y121)=0),"",IFERROR(SUMIF(معالجة!$B$3:$X$3,D$2,الرصد!$C121:$Y121)/SUMIF(معالجة!$B$3:$X$3,D$2,معالجة!$B$4:$X$4),""))</f>
        <v/>
      </c>
      <c r="E121" s="51" t="str">
        <f>IF(OR(E$2="",COUNT(الرصد!$C121:$Y121)=0),"",IFERROR(SUMIF(معالجة!$B$3:$X$3,E$2,الرصد!$C121:$Y121)/SUMIF(معالجة!$B$3:$X$3,E$2,معالجة!$B$4:$X$4),""))</f>
        <v/>
      </c>
      <c r="F121" s="51" t="str">
        <f>IF(OR(F$2="",COUNT(الرصد!$C121:$Y121)=0),"",IFERROR(SUMIF(معالجة!$B$3:$X$3,F$2,الرصد!$C121:$Y121)/SUMIF(معالجة!$B$3:$X$3,F$2,معالجة!$B$4:$X$4),""))</f>
        <v/>
      </c>
      <c r="G121" s="51" t="str">
        <f>IF(OR(G$2="",COUNT(الرصد!$C121:$Y121)=0),"",IFERROR(SUMIF(معالجة!$B$3:$X$3,G$2,الرصد!$C121:$Y121)/SUMIF(معالجة!$B$3:$X$3,G$2,معالجة!$B$4:$X$4),""))</f>
        <v/>
      </c>
      <c r="H121" s="51" t="str">
        <f>IF(OR(H$2="",COUNT(الرصد!$C121:$Y121)=0),"",IFERROR(SUMIF(معالجة!$B$3:$X$3,H$2,الرصد!$C121:$Y121)/SUMIF(معالجة!$B$3:$X$3,H$2,معالجة!$B$4:$X$4),""))</f>
        <v/>
      </c>
      <c r="I121" s="51" t="str">
        <f>IF(OR(I$2="",COUNT(الرصد!$C121:$Y121)=0),"",IFERROR(SUMIF(معالجة!$B$3:$X$3,I$2,الرصد!$C121:$Y121)/SUMIF(معالجة!$B$3:$X$3,I$2,معالجة!$B$4:$X$4),""))</f>
        <v/>
      </c>
      <c r="J121" s="51" t="str">
        <f>IF(OR(J$2="",COUNT(الرصد!$C121:$Y121)=0),"",IFERROR(SUMIF(معالجة!$B$3:$X$3,J$2,الرصد!$C121:$Y121)/SUMIF(معالجة!$B$3:$X$3,J$2,معالجة!$B$4:$X$4),""))</f>
        <v/>
      </c>
      <c r="K121" s="51" t="str">
        <f>IF(OR(K$2="",COUNT(الرصد!$C121:$Y121)=0),"",IFERROR(SUMIF(معالجة!$B$3:$X$3,K$2,الرصد!$C121:$Y121)/SUMIF(معالجة!$B$3:$X$3,K$2,معالجة!$B$4:$X$4),""))</f>
        <v/>
      </c>
      <c r="L121" s="51" t="str">
        <f>IF(OR(L$2="",COUNT(الرصد!$C121:$Y121)=0),"",IFERROR(SUMIF(معالجة!$B$3:$X$3,L$2,الرصد!$C121:$Y121)/SUMIF(معالجة!$B$3:$X$3,L$2,معالجة!$B$4:$X$4),""))</f>
        <v/>
      </c>
      <c r="M121" s="51" t="str">
        <f>IF(OR(M$2="",COUNT(الرصد!$C121:$Y121)=0),"",IFERROR(SUMIF(معالجة!$B$3:$X$3,M$2,الرصد!$C121:$Y121)/SUMIF(معالجة!$B$3:$X$3,M$2,معالجة!$B$4:$X$4),""))</f>
        <v/>
      </c>
      <c r="N121" s="51" t="str">
        <f>IF(OR(N$2="",COUNT(الرصد!$C121:$Y121)=0),"",IFERROR(SUMIF(معالجة!$B$3:$X$3,N$2,الرصد!$C121:$Y121)/SUMIF(معالجة!$B$3:$X$3,N$2,معالجة!$B$4:$X$4),""))</f>
        <v/>
      </c>
      <c r="O121" s="51" t="str">
        <f>IF(OR(O$2="",COUNT(الرصد!$C121:$Y121)=0),"",IFERROR(SUMIF(معالجة!$B$3:$X$3,O$2,الرصد!$C121:$Y121)/SUMIF(معالجة!$B$3:$X$3,O$2,معالجة!$B$4:$X$4),""))</f>
        <v/>
      </c>
      <c r="P121" s="51" t="str">
        <f>IF(OR(P$2="",COUNT(الرصد!$C121:$Y121)=0),"",IFERROR(SUMIF(معالجة!$B$3:$X$3,P$2,الرصد!$C121:$Y121)/SUMIF(معالجة!$B$3:$X$3,P$2,معالجة!$B$4:$X$4),""))</f>
        <v/>
      </c>
      <c r="Q121" s="51" t="str">
        <f>IF(OR(Q$2="",COUNT(الرصد!$C121:$Y121)=0),"",IFERROR(SUMIF(معالجة!$B$3:$X$3,Q$2,الرصد!$C121:$Y121)/SUMIF(معالجة!$B$3:$X$3,Q$2,معالجة!$B$4:$X$4),""))</f>
        <v/>
      </c>
      <c r="R121" s="51" t="str">
        <f>IF(OR(R$2="",COUNT(الرصد!$C121:$Y121)=0),"",IFERROR(SUMIF(معالجة!$B$3:$X$3,R$2,الرصد!$C121:$Y121)/SUMIF(معالجة!$B$3:$X$3,R$2,معالجة!$B$4:$X$4),""))</f>
        <v/>
      </c>
      <c r="S121" s="51" t="str">
        <f>IF(OR(S$2="",COUNT(الرصد!$C121:$Y121)=0),"",IFERROR(SUMIF(معالجة!$B$3:$X$3,S$2,الرصد!$C121:$Y121)/SUMIF(معالجة!$B$3:$X$3,S$2,معالجة!$B$4:$X$4),""))</f>
        <v/>
      </c>
      <c r="T121" s="51" t="str">
        <f>IF(OR(T$2="",COUNT(الرصد!$C121:$Y121)=0),"",IFERROR(SUMIF(معالجة!$B$3:$X$3,T$2,الرصد!$C121:$Y121)/SUMIF(معالجة!$B$3:$X$3,T$2,معالجة!$B$4:$X$4),""))</f>
        <v/>
      </c>
      <c r="U121" s="51" t="str">
        <f>IF(OR(U$2="",COUNT(الرصد!$C121:$Y121)=0),"",IFERROR(SUMIF(معالجة!$B$3:$X$3,U$2,الرصد!$C121:$Y121)/SUMIF(معالجة!$B$3:$X$3,U$2,معالجة!$B$4:$X$4),""))</f>
        <v/>
      </c>
      <c r="V121" s="51" t="str">
        <f>IF(OR(V$2="",COUNT(الرصد!$C121:$Y121)=0),"",IFERROR(SUMIF(معالجة!$B$3:$X$3,V$2,الرصد!$C121:$Y121)/SUMIF(معالجة!$B$3:$X$3,V$2,معالجة!$B$4:$X$4),""))</f>
        <v/>
      </c>
      <c r="W121" s="51" t="str">
        <f>IFERROR(C121/المهارات!$G$27,"")</f>
        <v/>
      </c>
    </row>
    <row r="122" spans="1:23" ht="14.25" customHeight="1">
      <c r="A122" s="46" t="s">
        <v>191</v>
      </c>
      <c r="B122" s="46" t="s">
        <v>22</v>
      </c>
      <c r="C122" s="52" t="str">
        <f>IF(COUNT(الرصد!C122:Y122)=0,"",SUM(الرصد!C122:Y122))</f>
        <v/>
      </c>
      <c r="D122" s="51" t="str">
        <f>IF(OR(D$2="",COUNT(الرصد!$C122:$Y122)=0),"",IFERROR(SUMIF(معالجة!$B$3:$X$3,D$2,الرصد!$C122:$Y122)/SUMIF(معالجة!$B$3:$X$3,D$2,معالجة!$B$4:$X$4),""))</f>
        <v/>
      </c>
      <c r="E122" s="51" t="str">
        <f>IF(OR(E$2="",COUNT(الرصد!$C122:$Y122)=0),"",IFERROR(SUMIF(معالجة!$B$3:$X$3,E$2,الرصد!$C122:$Y122)/SUMIF(معالجة!$B$3:$X$3,E$2,معالجة!$B$4:$X$4),""))</f>
        <v/>
      </c>
      <c r="F122" s="51" t="str">
        <f>IF(OR(F$2="",COUNT(الرصد!$C122:$Y122)=0),"",IFERROR(SUMIF(معالجة!$B$3:$X$3,F$2,الرصد!$C122:$Y122)/SUMIF(معالجة!$B$3:$X$3,F$2,معالجة!$B$4:$X$4),""))</f>
        <v/>
      </c>
      <c r="G122" s="51" t="str">
        <f>IF(OR(G$2="",COUNT(الرصد!$C122:$Y122)=0),"",IFERROR(SUMIF(معالجة!$B$3:$X$3,G$2,الرصد!$C122:$Y122)/SUMIF(معالجة!$B$3:$X$3,G$2,معالجة!$B$4:$X$4),""))</f>
        <v/>
      </c>
      <c r="H122" s="51" t="str">
        <f>IF(OR(H$2="",COUNT(الرصد!$C122:$Y122)=0),"",IFERROR(SUMIF(معالجة!$B$3:$X$3,H$2,الرصد!$C122:$Y122)/SUMIF(معالجة!$B$3:$X$3,H$2,معالجة!$B$4:$X$4),""))</f>
        <v/>
      </c>
      <c r="I122" s="51" t="str">
        <f>IF(OR(I$2="",COUNT(الرصد!$C122:$Y122)=0),"",IFERROR(SUMIF(معالجة!$B$3:$X$3,I$2,الرصد!$C122:$Y122)/SUMIF(معالجة!$B$3:$X$3,I$2,معالجة!$B$4:$X$4),""))</f>
        <v/>
      </c>
      <c r="J122" s="51" t="str">
        <f>IF(OR(J$2="",COUNT(الرصد!$C122:$Y122)=0),"",IFERROR(SUMIF(معالجة!$B$3:$X$3,J$2,الرصد!$C122:$Y122)/SUMIF(معالجة!$B$3:$X$3,J$2,معالجة!$B$4:$X$4),""))</f>
        <v/>
      </c>
      <c r="K122" s="51" t="str">
        <f>IF(OR(K$2="",COUNT(الرصد!$C122:$Y122)=0),"",IFERROR(SUMIF(معالجة!$B$3:$X$3,K$2,الرصد!$C122:$Y122)/SUMIF(معالجة!$B$3:$X$3,K$2,معالجة!$B$4:$X$4),""))</f>
        <v/>
      </c>
      <c r="L122" s="51" t="str">
        <f>IF(OR(L$2="",COUNT(الرصد!$C122:$Y122)=0),"",IFERROR(SUMIF(معالجة!$B$3:$X$3,L$2,الرصد!$C122:$Y122)/SUMIF(معالجة!$B$3:$X$3,L$2,معالجة!$B$4:$X$4),""))</f>
        <v/>
      </c>
      <c r="M122" s="51" t="str">
        <f>IF(OR(M$2="",COUNT(الرصد!$C122:$Y122)=0),"",IFERROR(SUMIF(معالجة!$B$3:$X$3,M$2,الرصد!$C122:$Y122)/SUMIF(معالجة!$B$3:$X$3,M$2,معالجة!$B$4:$X$4),""))</f>
        <v/>
      </c>
      <c r="N122" s="51" t="str">
        <f>IF(OR(N$2="",COUNT(الرصد!$C122:$Y122)=0),"",IFERROR(SUMIF(معالجة!$B$3:$X$3,N$2,الرصد!$C122:$Y122)/SUMIF(معالجة!$B$3:$X$3,N$2,معالجة!$B$4:$X$4),""))</f>
        <v/>
      </c>
      <c r="O122" s="51" t="str">
        <f>IF(OR(O$2="",COUNT(الرصد!$C122:$Y122)=0),"",IFERROR(SUMIF(معالجة!$B$3:$X$3,O$2,الرصد!$C122:$Y122)/SUMIF(معالجة!$B$3:$X$3,O$2,معالجة!$B$4:$X$4),""))</f>
        <v/>
      </c>
      <c r="P122" s="51" t="str">
        <f>IF(OR(P$2="",COUNT(الرصد!$C122:$Y122)=0),"",IFERROR(SUMIF(معالجة!$B$3:$X$3,P$2,الرصد!$C122:$Y122)/SUMIF(معالجة!$B$3:$X$3,P$2,معالجة!$B$4:$X$4),""))</f>
        <v/>
      </c>
      <c r="Q122" s="51" t="str">
        <f>IF(OR(Q$2="",COUNT(الرصد!$C122:$Y122)=0),"",IFERROR(SUMIF(معالجة!$B$3:$X$3,Q$2,الرصد!$C122:$Y122)/SUMIF(معالجة!$B$3:$X$3,Q$2,معالجة!$B$4:$X$4),""))</f>
        <v/>
      </c>
      <c r="R122" s="51" t="str">
        <f>IF(OR(R$2="",COUNT(الرصد!$C122:$Y122)=0),"",IFERROR(SUMIF(معالجة!$B$3:$X$3,R$2,الرصد!$C122:$Y122)/SUMIF(معالجة!$B$3:$X$3,R$2,معالجة!$B$4:$X$4),""))</f>
        <v/>
      </c>
      <c r="S122" s="51" t="str">
        <f>IF(OR(S$2="",COUNT(الرصد!$C122:$Y122)=0),"",IFERROR(SUMIF(معالجة!$B$3:$X$3,S$2,الرصد!$C122:$Y122)/SUMIF(معالجة!$B$3:$X$3,S$2,معالجة!$B$4:$X$4),""))</f>
        <v/>
      </c>
      <c r="T122" s="51" t="str">
        <f>IF(OR(T$2="",COUNT(الرصد!$C122:$Y122)=0),"",IFERROR(SUMIF(معالجة!$B$3:$X$3,T$2,الرصد!$C122:$Y122)/SUMIF(معالجة!$B$3:$X$3,T$2,معالجة!$B$4:$X$4),""))</f>
        <v/>
      </c>
      <c r="U122" s="51" t="str">
        <f>IF(OR(U$2="",COUNT(الرصد!$C122:$Y122)=0),"",IFERROR(SUMIF(معالجة!$B$3:$X$3,U$2,الرصد!$C122:$Y122)/SUMIF(معالجة!$B$3:$X$3,U$2,معالجة!$B$4:$X$4),""))</f>
        <v/>
      </c>
      <c r="V122" s="51" t="str">
        <f>IF(OR(V$2="",COUNT(الرصد!$C122:$Y122)=0),"",IFERROR(SUMIF(معالجة!$B$3:$X$3,V$2,الرصد!$C122:$Y122)/SUMIF(معالجة!$B$3:$X$3,V$2,معالجة!$B$4:$X$4),""))</f>
        <v/>
      </c>
      <c r="W122" s="51" t="str">
        <f>IFERROR(C122/المهارات!$G$27,"")</f>
        <v/>
      </c>
    </row>
    <row r="123" spans="1:23" ht="14.25" customHeight="1">
      <c r="A123" s="42" t="s">
        <v>192</v>
      </c>
      <c r="B123" s="42" t="s">
        <v>22</v>
      </c>
      <c r="C123" s="50" t="str">
        <f>IF(COUNT(الرصد!C123:Y123)=0,"",SUM(الرصد!C123:Y123))</f>
        <v/>
      </c>
      <c r="D123" s="51" t="str">
        <f>IF(OR(D$2="",COUNT(الرصد!$C123:$Y123)=0),"",IFERROR(SUMIF(معالجة!$B$3:$X$3,D$2,الرصد!$C123:$Y123)/SUMIF(معالجة!$B$3:$X$3,D$2,معالجة!$B$4:$X$4),""))</f>
        <v/>
      </c>
      <c r="E123" s="51" t="str">
        <f>IF(OR(E$2="",COUNT(الرصد!$C123:$Y123)=0),"",IFERROR(SUMIF(معالجة!$B$3:$X$3,E$2,الرصد!$C123:$Y123)/SUMIF(معالجة!$B$3:$X$3,E$2,معالجة!$B$4:$X$4),""))</f>
        <v/>
      </c>
      <c r="F123" s="51" t="str">
        <f>IF(OR(F$2="",COUNT(الرصد!$C123:$Y123)=0),"",IFERROR(SUMIF(معالجة!$B$3:$X$3,F$2,الرصد!$C123:$Y123)/SUMIF(معالجة!$B$3:$X$3,F$2,معالجة!$B$4:$X$4),""))</f>
        <v/>
      </c>
      <c r="G123" s="51" t="str">
        <f>IF(OR(G$2="",COUNT(الرصد!$C123:$Y123)=0),"",IFERROR(SUMIF(معالجة!$B$3:$X$3,G$2,الرصد!$C123:$Y123)/SUMIF(معالجة!$B$3:$X$3,G$2,معالجة!$B$4:$X$4),""))</f>
        <v/>
      </c>
      <c r="H123" s="51" t="str">
        <f>IF(OR(H$2="",COUNT(الرصد!$C123:$Y123)=0),"",IFERROR(SUMIF(معالجة!$B$3:$X$3,H$2,الرصد!$C123:$Y123)/SUMIF(معالجة!$B$3:$X$3,H$2,معالجة!$B$4:$X$4),""))</f>
        <v/>
      </c>
      <c r="I123" s="51" t="str">
        <f>IF(OR(I$2="",COUNT(الرصد!$C123:$Y123)=0),"",IFERROR(SUMIF(معالجة!$B$3:$X$3,I$2,الرصد!$C123:$Y123)/SUMIF(معالجة!$B$3:$X$3,I$2,معالجة!$B$4:$X$4),""))</f>
        <v/>
      </c>
      <c r="J123" s="51" t="str">
        <f>IF(OR(J$2="",COUNT(الرصد!$C123:$Y123)=0),"",IFERROR(SUMIF(معالجة!$B$3:$X$3,J$2,الرصد!$C123:$Y123)/SUMIF(معالجة!$B$3:$X$3,J$2,معالجة!$B$4:$X$4),""))</f>
        <v/>
      </c>
      <c r="K123" s="51" t="str">
        <f>IF(OR(K$2="",COUNT(الرصد!$C123:$Y123)=0),"",IFERROR(SUMIF(معالجة!$B$3:$X$3,K$2,الرصد!$C123:$Y123)/SUMIF(معالجة!$B$3:$X$3,K$2,معالجة!$B$4:$X$4),""))</f>
        <v/>
      </c>
      <c r="L123" s="51" t="str">
        <f>IF(OR(L$2="",COUNT(الرصد!$C123:$Y123)=0),"",IFERROR(SUMIF(معالجة!$B$3:$X$3,L$2,الرصد!$C123:$Y123)/SUMIF(معالجة!$B$3:$X$3,L$2,معالجة!$B$4:$X$4),""))</f>
        <v/>
      </c>
      <c r="M123" s="51" t="str">
        <f>IF(OR(M$2="",COUNT(الرصد!$C123:$Y123)=0),"",IFERROR(SUMIF(معالجة!$B$3:$X$3,M$2,الرصد!$C123:$Y123)/SUMIF(معالجة!$B$3:$X$3,M$2,معالجة!$B$4:$X$4),""))</f>
        <v/>
      </c>
      <c r="N123" s="51" t="str">
        <f>IF(OR(N$2="",COUNT(الرصد!$C123:$Y123)=0),"",IFERROR(SUMIF(معالجة!$B$3:$X$3,N$2,الرصد!$C123:$Y123)/SUMIF(معالجة!$B$3:$X$3,N$2,معالجة!$B$4:$X$4),""))</f>
        <v/>
      </c>
      <c r="O123" s="51" t="str">
        <f>IF(OR(O$2="",COUNT(الرصد!$C123:$Y123)=0),"",IFERROR(SUMIF(معالجة!$B$3:$X$3,O$2,الرصد!$C123:$Y123)/SUMIF(معالجة!$B$3:$X$3,O$2,معالجة!$B$4:$X$4),""))</f>
        <v/>
      </c>
      <c r="P123" s="51" t="str">
        <f>IF(OR(P$2="",COUNT(الرصد!$C123:$Y123)=0),"",IFERROR(SUMIF(معالجة!$B$3:$X$3,P$2,الرصد!$C123:$Y123)/SUMIF(معالجة!$B$3:$X$3,P$2,معالجة!$B$4:$X$4),""))</f>
        <v/>
      </c>
      <c r="Q123" s="51" t="str">
        <f>IF(OR(Q$2="",COUNT(الرصد!$C123:$Y123)=0),"",IFERROR(SUMIF(معالجة!$B$3:$X$3,Q$2,الرصد!$C123:$Y123)/SUMIF(معالجة!$B$3:$X$3,Q$2,معالجة!$B$4:$X$4),""))</f>
        <v/>
      </c>
      <c r="R123" s="51" t="str">
        <f>IF(OR(R$2="",COUNT(الرصد!$C123:$Y123)=0),"",IFERROR(SUMIF(معالجة!$B$3:$X$3,R$2,الرصد!$C123:$Y123)/SUMIF(معالجة!$B$3:$X$3,R$2,معالجة!$B$4:$X$4),""))</f>
        <v/>
      </c>
      <c r="S123" s="51" t="str">
        <f>IF(OR(S$2="",COUNT(الرصد!$C123:$Y123)=0),"",IFERROR(SUMIF(معالجة!$B$3:$X$3,S$2,الرصد!$C123:$Y123)/SUMIF(معالجة!$B$3:$X$3,S$2,معالجة!$B$4:$X$4),""))</f>
        <v/>
      </c>
      <c r="T123" s="51" t="str">
        <f>IF(OR(T$2="",COUNT(الرصد!$C123:$Y123)=0),"",IFERROR(SUMIF(معالجة!$B$3:$X$3,T$2,الرصد!$C123:$Y123)/SUMIF(معالجة!$B$3:$X$3,T$2,معالجة!$B$4:$X$4),""))</f>
        <v/>
      </c>
      <c r="U123" s="51" t="str">
        <f>IF(OR(U$2="",COUNT(الرصد!$C123:$Y123)=0),"",IFERROR(SUMIF(معالجة!$B$3:$X$3,U$2,الرصد!$C123:$Y123)/SUMIF(معالجة!$B$3:$X$3,U$2,معالجة!$B$4:$X$4),""))</f>
        <v/>
      </c>
      <c r="V123" s="51" t="str">
        <f>IF(OR(V$2="",COUNT(الرصد!$C123:$Y123)=0),"",IFERROR(SUMIF(معالجة!$B$3:$X$3,V$2,الرصد!$C123:$Y123)/SUMIF(معالجة!$B$3:$X$3,V$2,معالجة!$B$4:$X$4),""))</f>
        <v/>
      </c>
      <c r="W123" s="51" t="str">
        <f>IFERROR(C123/المهارات!$G$27,"")</f>
        <v/>
      </c>
    </row>
    <row r="124" spans="1:23" ht="14.25" customHeight="1">
      <c r="A124" s="46" t="s">
        <v>193</v>
      </c>
      <c r="B124" s="46" t="s">
        <v>22</v>
      </c>
      <c r="C124" s="52" t="str">
        <f>IF(COUNT(الرصد!C124:Y124)=0,"",SUM(الرصد!C124:Y124))</f>
        <v/>
      </c>
      <c r="D124" s="51" t="str">
        <f>IF(OR(D$2="",COUNT(الرصد!$C124:$Y124)=0),"",IFERROR(SUMIF(معالجة!$B$3:$X$3,D$2,الرصد!$C124:$Y124)/SUMIF(معالجة!$B$3:$X$3,D$2,معالجة!$B$4:$X$4),""))</f>
        <v/>
      </c>
      <c r="E124" s="51" t="str">
        <f>IF(OR(E$2="",COUNT(الرصد!$C124:$Y124)=0),"",IFERROR(SUMIF(معالجة!$B$3:$X$3,E$2,الرصد!$C124:$Y124)/SUMIF(معالجة!$B$3:$X$3,E$2,معالجة!$B$4:$X$4),""))</f>
        <v/>
      </c>
      <c r="F124" s="51" t="str">
        <f>IF(OR(F$2="",COUNT(الرصد!$C124:$Y124)=0),"",IFERROR(SUMIF(معالجة!$B$3:$X$3,F$2,الرصد!$C124:$Y124)/SUMIF(معالجة!$B$3:$X$3,F$2,معالجة!$B$4:$X$4),""))</f>
        <v/>
      </c>
      <c r="G124" s="51" t="str">
        <f>IF(OR(G$2="",COUNT(الرصد!$C124:$Y124)=0),"",IFERROR(SUMIF(معالجة!$B$3:$X$3,G$2,الرصد!$C124:$Y124)/SUMIF(معالجة!$B$3:$X$3,G$2,معالجة!$B$4:$X$4),""))</f>
        <v/>
      </c>
      <c r="H124" s="51" t="str">
        <f>IF(OR(H$2="",COUNT(الرصد!$C124:$Y124)=0),"",IFERROR(SUMIF(معالجة!$B$3:$X$3,H$2,الرصد!$C124:$Y124)/SUMIF(معالجة!$B$3:$X$3,H$2,معالجة!$B$4:$X$4),""))</f>
        <v/>
      </c>
      <c r="I124" s="51" t="str">
        <f>IF(OR(I$2="",COUNT(الرصد!$C124:$Y124)=0),"",IFERROR(SUMIF(معالجة!$B$3:$X$3,I$2,الرصد!$C124:$Y124)/SUMIF(معالجة!$B$3:$X$3,I$2,معالجة!$B$4:$X$4),""))</f>
        <v/>
      </c>
      <c r="J124" s="51" t="str">
        <f>IF(OR(J$2="",COUNT(الرصد!$C124:$Y124)=0),"",IFERROR(SUMIF(معالجة!$B$3:$X$3,J$2,الرصد!$C124:$Y124)/SUMIF(معالجة!$B$3:$X$3,J$2,معالجة!$B$4:$X$4),""))</f>
        <v/>
      </c>
      <c r="K124" s="51" t="str">
        <f>IF(OR(K$2="",COUNT(الرصد!$C124:$Y124)=0),"",IFERROR(SUMIF(معالجة!$B$3:$X$3,K$2,الرصد!$C124:$Y124)/SUMIF(معالجة!$B$3:$X$3,K$2,معالجة!$B$4:$X$4),""))</f>
        <v/>
      </c>
      <c r="L124" s="51" t="str">
        <f>IF(OR(L$2="",COUNT(الرصد!$C124:$Y124)=0),"",IFERROR(SUMIF(معالجة!$B$3:$X$3,L$2,الرصد!$C124:$Y124)/SUMIF(معالجة!$B$3:$X$3,L$2,معالجة!$B$4:$X$4),""))</f>
        <v/>
      </c>
      <c r="M124" s="51" t="str">
        <f>IF(OR(M$2="",COUNT(الرصد!$C124:$Y124)=0),"",IFERROR(SUMIF(معالجة!$B$3:$X$3,M$2,الرصد!$C124:$Y124)/SUMIF(معالجة!$B$3:$X$3,M$2,معالجة!$B$4:$X$4),""))</f>
        <v/>
      </c>
      <c r="N124" s="51" t="str">
        <f>IF(OR(N$2="",COUNT(الرصد!$C124:$Y124)=0),"",IFERROR(SUMIF(معالجة!$B$3:$X$3,N$2,الرصد!$C124:$Y124)/SUMIF(معالجة!$B$3:$X$3,N$2,معالجة!$B$4:$X$4),""))</f>
        <v/>
      </c>
      <c r="O124" s="51" t="str">
        <f>IF(OR(O$2="",COUNT(الرصد!$C124:$Y124)=0),"",IFERROR(SUMIF(معالجة!$B$3:$X$3,O$2,الرصد!$C124:$Y124)/SUMIF(معالجة!$B$3:$X$3,O$2,معالجة!$B$4:$X$4),""))</f>
        <v/>
      </c>
      <c r="P124" s="51" t="str">
        <f>IF(OR(P$2="",COUNT(الرصد!$C124:$Y124)=0),"",IFERROR(SUMIF(معالجة!$B$3:$X$3,P$2,الرصد!$C124:$Y124)/SUMIF(معالجة!$B$3:$X$3,P$2,معالجة!$B$4:$X$4),""))</f>
        <v/>
      </c>
      <c r="Q124" s="51" t="str">
        <f>IF(OR(Q$2="",COUNT(الرصد!$C124:$Y124)=0),"",IFERROR(SUMIF(معالجة!$B$3:$X$3,Q$2,الرصد!$C124:$Y124)/SUMIF(معالجة!$B$3:$X$3,Q$2,معالجة!$B$4:$X$4),""))</f>
        <v/>
      </c>
      <c r="R124" s="51" t="str">
        <f>IF(OR(R$2="",COUNT(الرصد!$C124:$Y124)=0),"",IFERROR(SUMIF(معالجة!$B$3:$X$3,R$2,الرصد!$C124:$Y124)/SUMIF(معالجة!$B$3:$X$3,R$2,معالجة!$B$4:$X$4),""))</f>
        <v/>
      </c>
      <c r="S124" s="51" t="str">
        <f>IF(OR(S$2="",COUNT(الرصد!$C124:$Y124)=0),"",IFERROR(SUMIF(معالجة!$B$3:$X$3,S$2,الرصد!$C124:$Y124)/SUMIF(معالجة!$B$3:$X$3,S$2,معالجة!$B$4:$X$4),""))</f>
        <v/>
      </c>
      <c r="T124" s="51" t="str">
        <f>IF(OR(T$2="",COUNT(الرصد!$C124:$Y124)=0),"",IFERROR(SUMIF(معالجة!$B$3:$X$3,T$2,الرصد!$C124:$Y124)/SUMIF(معالجة!$B$3:$X$3,T$2,معالجة!$B$4:$X$4),""))</f>
        <v/>
      </c>
      <c r="U124" s="51" t="str">
        <f>IF(OR(U$2="",COUNT(الرصد!$C124:$Y124)=0),"",IFERROR(SUMIF(معالجة!$B$3:$X$3,U$2,الرصد!$C124:$Y124)/SUMIF(معالجة!$B$3:$X$3,U$2,معالجة!$B$4:$X$4),""))</f>
        <v/>
      </c>
      <c r="V124" s="51" t="str">
        <f>IF(OR(V$2="",COUNT(الرصد!$C124:$Y124)=0),"",IFERROR(SUMIF(معالجة!$B$3:$X$3,V$2,الرصد!$C124:$Y124)/SUMIF(معالجة!$B$3:$X$3,V$2,معالجة!$B$4:$X$4),""))</f>
        <v/>
      </c>
      <c r="W124" s="51" t="str">
        <f>IFERROR(C124/المهارات!$G$27,"")</f>
        <v/>
      </c>
    </row>
    <row r="125" spans="1:23" ht="14.25" customHeight="1">
      <c r="A125" s="42" t="s">
        <v>194</v>
      </c>
      <c r="B125" s="42" t="s">
        <v>22</v>
      </c>
      <c r="C125" s="50" t="str">
        <f>IF(COUNT(الرصد!C125:Y125)=0,"",SUM(الرصد!C125:Y125))</f>
        <v/>
      </c>
      <c r="D125" s="51" t="str">
        <f>IF(OR(D$2="",COUNT(الرصد!$C125:$Y125)=0),"",IFERROR(SUMIF(معالجة!$B$3:$X$3,D$2,الرصد!$C125:$Y125)/SUMIF(معالجة!$B$3:$X$3,D$2,معالجة!$B$4:$X$4),""))</f>
        <v/>
      </c>
      <c r="E125" s="51" t="str">
        <f>IF(OR(E$2="",COUNT(الرصد!$C125:$Y125)=0),"",IFERROR(SUMIF(معالجة!$B$3:$X$3,E$2,الرصد!$C125:$Y125)/SUMIF(معالجة!$B$3:$X$3,E$2,معالجة!$B$4:$X$4),""))</f>
        <v/>
      </c>
      <c r="F125" s="51" t="str">
        <f>IF(OR(F$2="",COUNT(الرصد!$C125:$Y125)=0),"",IFERROR(SUMIF(معالجة!$B$3:$X$3,F$2,الرصد!$C125:$Y125)/SUMIF(معالجة!$B$3:$X$3,F$2,معالجة!$B$4:$X$4),""))</f>
        <v/>
      </c>
      <c r="G125" s="51" t="str">
        <f>IF(OR(G$2="",COUNT(الرصد!$C125:$Y125)=0),"",IFERROR(SUMIF(معالجة!$B$3:$X$3,G$2,الرصد!$C125:$Y125)/SUMIF(معالجة!$B$3:$X$3,G$2,معالجة!$B$4:$X$4),""))</f>
        <v/>
      </c>
      <c r="H125" s="51" t="str">
        <f>IF(OR(H$2="",COUNT(الرصد!$C125:$Y125)=0),"",IFERROR(SUMIF(معالجة!$B$3:$X$3,H$2,الرصد!$C125:$Y125)/SUMIF(معالجة!$B$3:$X$3,H$2,معالجة!$B$4:$X$4),""))</f>
        <v/>
      </c>
      <c r="I125" s="51" t="str">
        <f>IF(OR(I$2="",COUNT(الرصد!$C125:$Y125)=0),"",IFERROR(SUMIF(معالجة!$B$3:$X$3,I$2,الرصد!$C125:$Y125)/SUMIF(معالجة!$B$3:$X$3,I$2,معالجة!$B$4:$X$4),""))</f>
        <v/>
      </c>
      <c r="J125" s="51" t="str">
        <f>IF(OR(J$2="",COUNT(الرصد!$C125:$Y125)=0),"",IFERROR(SUMIF(معالجة!$B$3:$X$3,J$2,الرصد!$C125:$Y125)/SUMIF(معالجة!$B$3:$X$3,J$2,معالجة!$B$4:$X$4),""))</f>
        <v/>
      </c>
      <c r="K125" s="51" t="str">
        <f>IF(OR(K$2="",COUNT(الرصد!$C125:$Y125)=0),"",IFERROR(SUMIF(معالجة!$B$3:$X$3,K$2,الرصد!$C125:$Y125)/SUMIF(معالجة!$B$3:$X$3,K$2,معالجة!$B$4:$X$4),""))</f>
        <v/>
      </c>
      <c r="L125" s="51" t="str">
        <f>IF(OR(L$2="",COUNT(الرصد!$C125:$Y125)=0),"",IFERROR(SUMIF(معالجة!$B$3:$X$3,L$2,الرصد!$C125:$Y125)/SUMIF(معالجة!$B$3:$X$3,L$2,معالجة!$B$4:$X$4),""))</f>
        <v/>
      </c>
      <c r="M125" s="51" t="str">
        <f>IF(OR(M$2="",COUNT(الرصد!$C125:$Y125)=0),"",IFERROR(SUMIF(معالجة!$B$3:$X$3,M$2,الرصد!$C125:$Y125)/SUMIF(معالجة!$B$3:$X$3,M$2,معالجة!$B$4:$X$4),""))</f>
        <v/>
      </c>
      <c r="N125" s="51" t="str">
        <f>IF(OR(N$2="",COUNT(الرصد!$C125:$Y125)=0),"",IFERROR(SUMIF(معالجة!$B$3:$X$3,N$2,الرصد!$C125:$Y125)/SUMIF(معالجة!$B$3:$X$3,N$2,معالجة!$B$4:$X$4),""))</f>
        <v/>
      </c>
      <c r="O125" s="51" t="str">
        <f>IF(OR(O$2="",COUNT(الرصد!$C125:$Y125)=0),"",IFERROR(SUMIF(معالجة!$B$3:$X$3,O$2,الرصد!$C125:$Y125)/SUMIF(معالجة!$B$3:$X$3,O$2,معالجة!$B$4:$X$4),""))</f>
        <v/>
      </c>
      <c r="P125" s="51" t="str">
        <f>IF(OR(P$2="",COUNT(الرصد!$C125:$Y125)=0),"",IFERROR(SUMIF(معالجة!$B$3:$X$3,P$2,الرصد!$C125:$Y125)/SUMIF(معالجة!$B$3:$X$3,P$2,معالجة!$B$4:$X$4),""))</f>
        <v/>
      </c>
      <c r="Q125" s="51" t="str">
        <f>IF(OR(Q$2="",COUNT(الرصد!$C125:$Y125)=0),"",IFERROR(SUMIF(معالجة!$B$3:$X$3,Q$2,الرصد!$C125:$Y125)/SUMIF(معالجة!$B$3:$X$3,Q$2,معالجة!$B$4:$X$4),""))</f>
        <v/>
      </c>
      <c r="R125" s="51" t="str">
        <f>IF(OR(R$2="",COUNT(الرصد!$C125:$Y125)=0),"",IFERROR(SUMIF(معالجة!$B$3:$X$3,R$2,الرصد!$C125:$Y125)/SUMIF(معالجة!$B$3:$X$3,R$2,معالجة!$B$4:$X$4),""))</f>
        <v/>
      </c>
      <c r="S125" s="51" t="str">
        <f>IF(OR(S$2="",COUNT(الرصد!$C125:$Y125)=0),"",IFERROR(SUMIF(معالجة!$B$3:$X$3,S$2,الرصد!$C125:$Y125)/SUMIF(معالجة!$B$3:$X$3,S$2,معالجة!$B$4:$X$4),""))</f>
        <v/>
      </c>
      <c r="T125" s="51" t="str">
        <f>IF(OR(T$2="",COUNT(الرصد!$C125:$Y125)=0),"",IFERROR(SUMIF(معالجة!$B$3:$X$3,T$2,الرصد!$C125:$Y125)/SUMIF(معالجة!$B$3:$X$3,T$2,معالجة!$B$4:$X$4),""))</f>
        <v/>
      </c>
      <c r="U125" s="51" t="str">
        <f>IF(OR(U$2="",COUNT(الرصد!$C125:$Y125)=0),"",IFERROR(SUMIF(معالجة!$B$3:$X$3,U$2,الرصد!$C125:$Y125)/SUMIF(معالجة!$B$3:$X$3,U$2,معالجة!$B$4:$X$4),""))</f>
        <v/>
      </c>
      <c r="V125" s="51" t="str">
        <f>IF(OR(V$2="",COUNT(الرصد!$C125:$Y125)=0),"",IFERROR(SUMIF(معالجة!$B$3:$X$3,V$2,الرصد!$C125:$Y125)/SUMIF(معالجة!$B$3:$X$3,V$2,معالجة!$B$4:$X$4),""))</f>
        <v/>
      </c>
      <c r="W125" s="51" t="str">
        <f>IFERROR(C125/المهارات!$G$27,"")</f>
        <v/>
      </c>
    </row>
    <row r="126" spans="1:23" ht="14.25" customHeight="1">
      <c r="A126" s="46" t="s">
        <v>195</v>
      </c>
      <c r="B126" s="46" t="s">
        <v>22</v>
      </c>
      <c r="C126" s="52" t="str">
        <f>IF(COUNT(الرصد!C126:Y126)=0,"",SUM(الرصد!C126:Y126))</f>
        <v/>
      </c>
      <c r="D126" s="51" t="str">
        <f>IF(OR(D$2="",COUNT(الرصد!$C126:$Y126)=0),"",IFERROR(SUMIF(معالجة!$B$3:$X$3,D$2,الرصد!$C126:$Y126)/SUMIF(معالجة!$B$3:$X$3,D$2,معالجة!$B$4:$X$4),""))</f>
        <v/>
      </c>
      <c r="E126" s="51" t="str">
        <f>IF(OR(E$2="",COUNT(الرصد!$C126:$Y126)=0),"",IFERROR(SUMIF(معالجة!$B$3:$X$3,E$2,الرصد!$C126:$Y126)/SUMIF(معالجة!$B$3:$X$3,E$2,معالجة!$B$4:$X$4),""))</f>
        <v/>
      </c>
      <c r="F126" s="51" t="str">
        <f>IF(OR(F$2="",COUNT(الرصد!$C126:$Y126)=0),"",IFERROR(SUMIF(معالجة!$B$3:$X$3,F$2,الرصد!$C126:$Y126)/SUMIF(معالجة!$B$3:$X$3,F$2,معالجة!$B$4:$X$4),""))</f>
        <v/>
      </c>
      <c r="G126" s="51" t="str">
        <f>IF(OR(G$2="",COUNT(الرصد!$C126:$Y126)=0),"",IFERROR(SUMIF(معالجة!$B$3:$X$3,G$2,الرصد!$C126:$Y126)/SUMIF(معالجة!$B$3:$X$3,G$2,معالجة!$B$4:$X$4),""))</f>
        <v/>
      </c>
      <c r="H126" s="51" t="str">
        <f>IF(OR(H$2="",COUNT(الرصد!$C126:$Y126)=0),"",IFERROR(SUMIF(معالجة!$B$3:$X$3,H$2,الرصد!$C126:$Y126)/SUMIF(معالجة!$B$3:$X$3,H$2,معالجة!$B$4:$X$4),""))</f>
        <v/>
      </c>
      <c r="I126" s="51" t="str">
        <f>IF(OR(I$2="",COUNT(الرصد!$C126:$Y126)=0),"",IFERROR(SUMIF(معالجة!$B$3:$X$3,I$2,الرصد!$C126:$Y126)/SUMIF(معالجة!$B$3:$X$3,I$2,معالجة!$B$4:$X$4),""))</f>
        <v/>
      </c>
      <c r="J126" s="51" t="str">
        <f>IF(OR(J$2="",COUNT(الرصد!$C126:$Y126)=0),"",IFERROR(SUMIF(معالجة!$B$3:$X$3,J$2,الرصد!$C126:$Y126)/SUMIF(معالجة!$B$3:$X$3,J$2,معالجة!$B$4:$X$4),""))</f>
        <v/>
      </c>
      <c r="K126" s="51" t="str">
        <f>IF(OR(K$2="",COUNT(الرصد!$C126:$Y126)=0),"",IFERROR(SUMIF(معالجة!$B$3:$X$3,K$2,الرصد!$C126:$Y126)/SUMIF(معالجة!$B$3:$X$3,K$2,معالجة!$B$4:$X$4),""))</f>
        <v/>
      </c>
      <c r="L126" s="51" t="str">
        <f>IF(OR(L$2="",COUNT(الرصد!$C126:$Y126)=0),"",IFERROR(SUMIF(معالجة!$B$3:$X$3,L$2,الرصد!$C126:$Y126)/SUMIF(معالجة!$B$3:$X$3,L$2,معالجة!$B$4:$X$4),""))</f>
        <v/>
      </c>
      <c r="M126" s="51" t="str">
        <f>IF(OR(M$2="",COUNT(الرصد!$C126:$Y126)=0),"",IFERROR(SUMIF(معالجة!$B$3:$X$3,M$2,الرصد!$C126:$Y126)/SUMIF(معالجة!$B$3:$X$3,M$2,معالجة!$B$4:$X$4),""))</f>
        <v/>
      </c>
      <c r="N126" s="51" t="str">
        <f>IF(OR(N$2="",COUNT(الرصد!$C126:$Y126)=0),"",IFERROR(SUMIF(معالجة!$B$3:$X$3,N$2,الرصد!$C126:$Y126)/SUMIF(معالجة!$B$3:$X$3,N$2,معالجة!$B$4:$X$4),""))</f>
        <v/>
      </c>
      <c r="O126" s="51" t="str">
        <f>IF(OR(O$2="",COUNT(الرصد!$C126:$Y126)=0),"",IFERROR(SUMIF(معالجة!$B$3:$X$3,O$2,الرصد!$C126:$Y126)/SUMIF(معالجة!$B$3:$X$3,O$2,معالجة!$B$4:$X$4),""))</f>
        <v/>
      </c>
      <c r="P126" s="51" t="str">
        <f>IF(OR(P$2="",COUNT(الرصد!$C126:$Y126)=0),"",IFERROR(SUMIF(معالجة!$B$3:$X$3,P$2,الرصد!$C126:$Y126)/SUMIF(معالجة!$B$3:$X$3,P$2,معالجة!$B$4:$X$4),""))</f>
        <v/>
      </c>
      <c r="Q126" s="51" t="str">
        <f>IF(OR(Q$2="",COUNT(الرصد!$C126:$Y126)=0),"",IFERROR(SUMIF(معالجة!$B$3:$X$3,Q$2,الرصد!$C126:$Y126)/SUMIF(معالجة!$B$3:$X$3,Q$2,معالجة!$B$4:$X$4),""))</f>
        <v/>
      </c>
      <c r="R126" s="51" t="str">
        <f>IF(OR(R$2="",COUNT(الرصد!$C126:$Y126)=0),"",IFERROR(SUMIF(معالجة!$B$3:$X$3,R$2,الرصد!$C126:$Y126)/SUMIF(معالجة!$B$3:$X$3,R$2,معالجة!$B$4:$X$4),""))</f>
        <v/>
      </c>
      <c r="S126" s="51" t="str">
        <f>IF(OR(S$2="",COUNT(الرصد!$C126:$Y126)=0),"",IFERROR(SUMIF(معالجة!$B$3:$X$3,S$2,الرصد!$C126:$Y126)/SUMIF(معالجة!$B$3:$X$3,S$2,معالجة!$B$4:$X$4),""))</f>
        <v/>
      </c>
      <c r="T126" s="51" t="str">
        <f>IF(OR(T$2="",COUNT(الرصد!$C126:$Y126)=0),"",IFERROR(SUMIF(معالجة!$B$3:$X$3,T$2,الرصد!$C126:$Y126)/SUMIF(معالجة!$B$3:$X$3,T$2,معالجة!$B$4:$X$4),""))</f>
        <v/>
      </c>
      <c r="U126" s="51" t="str">
        <f>IF(OR(U$2="",COUNT(الرصد!$C126:$Y126)=0),"",IFERROR(SUMIF(معالجة!$B$3:$X$3,U$2,الرصد!$C126:$Y126)/SUMIF(معالجة!$B$3:$X$3,U$2,معالجة!$B$4:$X$4),""))</f>
        <v/>
      </c>
      <c r="V126" s="51" t="str">
        <f>IF(OR(V$2="",COUNT(الرصد!$C126:$Y126)=0),"",IFERROR(SUMIF(معالجة!$B$3:$X$3,V$2,الرصد!$C126:$Y126)/SUMIF(معالجة!$B$3:$X$3,V$2,معالجة!$B$4:$X$4),""))</f>
        <v/>
      </c>
      <c r="W126" s="51" t="str">
        <f>IFERROR(C126/المهارات!$G$27,"")</f>
        <v/>
      </c>
    </row>
    <row r="127" spans="1:23" ht="14.25" customHeight="1">
      <c r="A127" s="42" t="s">
        <v>196</v>
      </c>
      <c r="B127" s="42" t="s">
        <v>22</v>
      </c>
      <c r="C127" s="50" t="str">
        <f>IF(COUNT(الرصد!C127:Y127)=0,"",SUM(الرصد!C127:Y127))</f>
        <v/>
      </c>
      <c r="D127" s="51" t="str">
        <f>IF(OR(D$2="",COUNT(الرصد!$C127:$Y127)=0),"",IFERROR(SUMIF(معالجة!$B$3:$X$3,D$2,الرصد!$C127:$Y127)/SUMIF(معالجة!$B$3:$X$3,D$2,معالجة!$B$4:$X$4),""))</f>
        <v/>
      </c>
      <c r="E127" s="51" t="str">
        <f>IF(OR(E$2="",COUNT(الرصد!$C127:$Y127)=0),"",IFERROR(SUMIF(معالجة!$B$3:$X$3,E$2,الرصد!$C127:$Y127)/SUMIF(معالجة!$B$3:$X$3,E$2,معالجة!$B$4:$X$4),""))</f>
        <v/>
      </c>
      <c r="F127" s="51" t="str">
        <f>IF(OR(F$2="",COUNT(الرصد!$C127:$Y127)=0),"",IFERROR(SUMIF(معالجة!$B$3:$X$3,F$2,الرصد!$C127:$Y127)/SUMIF(معالجة!$B$3:$X$3,F$2,معالجة!$B$4:$X$4),""))</f>
        <v/>
      </c>
      <c r="G127" s="51" t="str">
        <f>IF(OR(G$2="",COUNT(الرصد!$C127:$Y127)=0),"",IFERROR(SUMIF(معالجة!$B$3:$X$3,G$2,الرصد!$C127:$Y127)/SUMIF(معالجة!$B$3:$X$3,G$2,معالجة!$B$4:$X$4),""))</f>
        <v/>
      </c>
      <c r="H127" s="51" t="str">
        <f>IF(OR(H$2="",COUNT(الرصد!$C127:$Y127)=0),"",IFERROR(SUMIF(معالجة!$B$3:$X$3,H$2,الرصد!$C127:$Y127)/SUMIF(معالجة!$B$3:$X$3,H$2,معالجة!$B$4:$X$4),""))</f>
        <v/>
      </c>
      <c r="I127" s="51" t="str">
        <f>IF(OR(I$2="",COUNT(الرصد!$C127:$Y127)=0),"",IFERROR(SUMIF(معالجة!$B$3:$X$3,I$2,الرصد!$C127:$Y127)/SUMIF(معالجة!$B$3:$X$3,I$2,معالجة!$B$4:$X$4),""))</f>
        <v/>
      </c>
      <c r="J127" s="51" t="str">
        <f>IF(OR(J$2="",COUNT(الرصد!$C127:$Y127)=0),"",IFERROR(SUMIF(معالجة!$B$3:$X$3,J$2,الرصد!$C127:$Y127)/SUMIF(معالجة!$B$3:$X$3,J$2,معالجة!$B$4:$X$4),""))</f>
        <v/>
      </c>
      <c r="K127" s="51" t="str">
        <f>IF(OR(K$2="",COUNT(الرصد!$C127:$Y127)=0),"",IFERROR(SUMIF(معالجة!$B$3:$X$3,K$2,الرصد!$C127:$Y127)/SUMIF(معالجة!$B$3:$X$3,K$2,معالجة!$B$4:$X$4),""))</f>
        <v/>
      </c>
      <c r="L127" s="51" t="str">
        <f>IF(OR(L$2="",COUNT(الرصد!$C127:$Y127)=0),"",IFERROR(SUMIF(معالجة!$B$3:$X$3,L$2,الرصد!$C127:$Y127)/SUMIF(معالجة!$B$3:$X$3,L$2,معالجة!$B$4:$X$4),""))</f>
        <v/>
      </c>
      <c r="M127" s="51" t="str">
        <f>IF(OR(M$2="",COUNT(الرصد!$C127:$Y127)=0),"",IFERROR(SUMIF(معالجة!$B$3:$X$3,M$2,الرصد!$C127:$Y127)/SUMIF(معالجة!$B$3:$X$3,M$2,معالجة!$B$4:$X$4),""))</f>
        <v/>
      </c>
      <c r="N127" s="51" t="str">
        <f>IF(OR(N$2="",COUNT(الرصد!$C127:$Y127)=0),"",IFERROR(SUMIF(معالجة!$B$3:$X$3,N$2,الرصد!$C127:$Y127)/SUMIF(معالجة!$B$3:$X$3,N$2,معالجة!$B$4:$X$4),""))</f>
        <v/>
      </c>
      <c r="O127" s="51" t="str">
        <f>IF(OR(O$2="",COUNT(الرصد!$C127:$Y127)=0),"",IFERROR(SUMIF(معالجة!$B$3:$X$3,O$2,الرصد!$C127:$Y127)/SUMIF(معالجة!$B$3:$X$3,O$2,معالجة!$B$4:$X$4),""))</f>
        <v/>
      </c>
      <c r="P127" s="51" t="str">
        <f>IF(OR(P$2="",COUNT(الرصد!$C127:$Y127)=0),"",IFERROR(SUMIF(معالجة!$B$3:$X$3,P$2,الرصد!$C127:$Y127)/SUMIF(معالجة!$B$3:$X$3,P$2,معالجة!$B$4:$X$4),""))</f>
        <v/>
      </c>
      <c r="Q127" s="51" t="str">
        <f>IF(OR(Q$2="",COUNT(الرصد!$C127:$Y127)=0),"",IFERROR(SUMIF(معالجة!$B$3:$X$3,Q$2,الرصد!$C127:$Y127)/SUMIF(معالجة!$B$3:$X$3,Q$2,معالجة!$B$4:$X$4),""))</f>
        <v/>
      </c>
      <c r="R127" s="51" t="str">
        <f>IF(OR(R$2="",COUNT(الرصد!$C127:$Y127)=0),"",IFERROR(SUMIF(معالجة!$B$3:$X$3,R$2,الرصد!$C127:$Y127)/SUMIF(معالجة!$B$3:$X$3,R$2,معالجة!$B$4:$X$4),""))</f>
        <v/>
      </c>
      <c r="S127" s="51" t="str">
        <f>IF(OR(S$2="",COUNT(الرصد!$C127:$Y127)=0),"",IFERROR(SUMIF(معالجة!$B$3:$X$3,S$2,الرصد!$C127:$Y127)/SUMIF(معالجة!$B$3:$X$3,S$2,معالجة!$B$4:$X$4),""))</f>
        <v/>
      </c>
      <c r="T127" s="51" t="str">
        <f>IF(OR(T$2="",COUNT(الرصد!$C127:$Y127)=0),"",IFERROR(SUMIF(معالجة!$B$3:$X$3,T$2,الرصد!$C127:$Y127)/SUMIF(معالجة!$B$3:$X$3,T$2,معالجة!$B$4:$X$4),""))</f>
        <v/>
      </c>
      <c r="U127" s="51" t="str">
        <f>IF(OR(U$2="",COUNT(الرصد!$C127:$Y127)=0),"",IFERROR(SUMIF(معالجة!$B$3:$X$3,U$2,الرصد!$C127:$Y127)/SUMIF(معالجة!$B$3:$X$3,U$2,معالجة!$B$4:$X$4),""))</f>
        <v/>
      </c>
      <c r="V127" s="51" t="str">
        <f>IF(OR(V$2="",COUNT(الرصد!$C127:$Y127)=0),"",IFERROR(SUMIF(معالجة!$B$3:$X$3,V$2,الرصد!$C127:$Y127)/SUMIF(معالجة!$B$3:$X$3,V$2,معالجة!$B$4:$X$4),""))</f>
        <v/>
      </c>
      <c r="W127" s="51" t="str">
        <f>IFERROR(C127/المهارات!$G$27,"")</f>
        <v/>
      </c>
    </row>
    <row r="128" spans="1:23" ht="14.25" customHeight="1">
      <c r="A128" s="46" t="s">
        <v>197</v>
      </c>
      <c r="B128" s="46" t="s">
        <v>22</v>
      </c>
      <c r="C128" s="52" t="str">
        <f>IF(COUNT(الرصد!C128:Y128)=0,"",SUM(الرصد!C128:Y128))</f>
        <v/>
      </c>
      <c r="D128" s="51" t="str">
        <f>IF(OR(D$2="",COUNT(الرصد!$C128:$Y128)=0),"",IFERROR(SUMIF(معالجة!$B$3:$X$3,D$2,الرصد!$C128:$Y128)/SUMIF(معالجة!$B$3:$X$3,D$2,معالجة!$B$4:$X$4),""))</f>
        <v/>
      </c>
      <c r="E128" s="51" t="str">
        <f>IF(OR(E$2="",COUNT(الرصد!$C128:$Y128)=0),"",IFERROR(SUMIF(معالجة!$B$3:$X$3,E$2,الرصد!$C128:$Y128)/SUMIF(معالجة!$B$3:$X$3,E$2,معالجة!$B$4:$X$4),""))</f>
        <v/>
      </c>
      <c r="F128" s="51" t="str">
        <f>IF(OR(F$2="",COUNT(الرصد!$C128:$Y128)=0),"",IFERROR(SUMIF(معالجة!$B$3:$X$3,F$2,الرصد!$C128:$Y128)/SUMIF(معالجة!$B$3:$X$3,F$2,معالجة!$B$4:$X$4),""))</f>
        <v/>
      </c>
      <c r="G128" s="51" t="str">
        <f>IF(OR(G$2="",COUNT(الرصد!$C128:$Y128)=0),"",IFERROR(SUMIF(معالجة!$B$3:$X$3,G$2,الرصد!$C128:$Y128)/SUMIF(معالجة!$B$3:$X$3,G$2,معالجة!$B$4:$X$4),""))</f>
        <v/>
      </c>
      <c r="H128" s="51" t="str">
        <f>IF(OR(H$2="",COUNT(الرصد!$C128:$Y128)=0),"",IFERROR(SUMIF(معالجة!$B$3:$X$3,H$2,الرصد!$C128:$Y128)/SUMIF(معالجة!$B$3:$X$3,H$2,معالجة!$B$4:$X$4),""))</f>
        <v/>
      </c>
      <c r="I128" s="51" t="str">
        <f>IF(OR(I$2="",COUNT(الرصد!$C128:$Y128)=0),"",IFERROR(SUMIF(معالجة!$B$3:$X$3,I$2,الرصد!$C128:$Y128)/SUMIF(معالجة!$B$3:$X$3,I$2,معالجة!$B$4:$X$4),""))</f>
        <v/>
      </c>
      <c r="J128" s="51" t="str">
        <f>IF(OR(J$2="",COUNT(الرصد!$C128:$Y128)=0),"",IFERROR(SUMIF(معالجة!$B$3:$X$3,J$2,الرصد!$C128:$Y128)/SUMIF(معالجة!$B$3:$X$3,J$2,معالجة!$B$4:$X$4),""))</f>
        <v/>
      </c>
      <c r="K128" s="51" t="str">
        <f>IF(OR(K$2="",COUNT(الرصد!$C128:$Y128)=0),"",IFERROR(SUMIF(معالجة!$B$3:$X$3,K$2,الرصد!$C128:$Y128)/SUMIF(معالجة!$B$3:$X$3,K$2,معالجة!$B$4:$X$4),""))</f>
        <v/>
      </c>
      <c r="L128" s="51" t="str">
        <f>IF(OR(L$2="",COUNT(الرصد!$C128:$Y128)=0),"",IFERROR(SUMIF(معالجة!$B$3:$X$3,L$2,الرصد!$C128:$Y128)/SUMIF(معالجة!$B$3:$X$3,L$2,معالجة!$B$4:$X$4),""))</f>
        <v/>
      </c>
      <c r="M128" s="51" t="str">
        <f>IF(OR(M$2="",COUNT(الرصد!$C128:$Y128)=0),"",IFERROR(SUMIF(معالجة!$B$3:$X$3,M$2,الرصد!$C128:$Y128)/SUMIF(معالجة!$B$3:$X$3,M$2,معالجة!$B$4:$X$4),""))</f>
        <v/>
      </c>
      <c r="N128" s="51" t="str">
        <f>IF(OR(N$2="",COUNT(الرصد!$C128:$Y128)=0),"",IFERROR(SUMIF(معالجة!$B$3:$X$3,N$2,الرصد!$C128:$Y128)/SUMIF(معالجة!$B$3:$X$3,N$2,معالجة!$B$4:$X$4),""))</f>
        <v/>
      </c>
      <c r="O128" s="51" t="str">
        <f>IF(OR(O$2="",COUNT(الرصد!$C128:$Y128)=0),"",IFERROR(SUMIF(معالجة!$B$3:$X$3,O$2,الرصد!$C128:$Y128)/SUMIF(معالجة!$B$3:$X$3,O$2,معالجة!$B$4:$X$4),""))</f>
        <v/>
      </c>
      <c r="P128" s="51" t="str">
        <f>IF(OR(P$2="",COUNT(الرصد!$C128:$Y128)=0),"",IFERROR(SUMIF(معالجة!$B$3:$X$3,P$2,الرصد!$C128:$Y128)/SUMIF(معالجة!$B$3:$X$3,P$2,معالجة!$B$4:$X$4),""))</f>
        <v/>
      </c>
      <c r="Q128" s="51" t="str">
        <f>IF(OR(Q$2="",COUNT(الرصد!$C128:$Y128)=0),"",IFERROR(SUMIF(معالجة!$B$3:$X$3,Q$2,الرصد!$C128:$Y128)/SUMIF(معالجة!$B$3:$X$3,Q$2,معالجة!$B$4:$X$4),""))</f>
        <v/>
      </c>
      <c r="R128" s="51" t="str">
        <f>IF(OR(R$2="",COUNT(الرصد!$C128:$Y128)=0),"",IFERROR(SUMIF(معالجة!$B$3:$X$3,R$2,الرصد!$C128:$Y128)/SUMIF(معالجة!$B$3:$X$3,R$2,معالجة!$B$4:$X$4),""))</f>
        <v/>
      </c>
      <c r="S128" s="51" t="str">
        <f>IF(OR(S$2="",COUNT(الرصد!$C128:$Y128)=0),"",IFERROR(SUMIF(معالجة!$B$3:$X$3,S$2,الرصد!$C128:$Y128)/SUMIF(معالجة!$B$3:$X$3,S$2,معالجة!$B$4:$X$4),""))</f>
        <v/>
      </c>
      <c r="T128" s="51" t="str">
        <f>IF(OR(T$2="",COUNT(الرصد!$C128:$Y128)=0),"",IFERROR(SUMIF(معالجة!$B$3:$X$3,T$2,الرصد!$C128:$Y128)/SUMIF(معالجة!$B$3:$X$3,T$2,معالجة!$B$4:$X$4),""))</f>
        <v/>
      </c>
      <c r="U128" s="51" t="str">
        <f>IF(OR(U$2="",COUNT(الرصد!$C128:$Y128)=0),"",IFERROR(SUMIF(معالجة!$B$3:$X$3,U$2,الرصد!$C128:$Y128)/SUMIF(معالجة!$B$3:$X$3,U$2,معالجة!$B$4:$X$4),""))</f>
        <v/>
      </c>
      <c r="V128" s="51" t="str">
        <f>IF(OR(V$2="",COUNT(الرصد!$C128:$Y128)=0),"",IFERROR(SUMIF(معالجة!$B$3:$X$3,V$2,الرصد!$C128:$Y128)/SUMIF(معالجة!$B$3:$X$3,V$2,معالجة!$B$4:$X$4),""))</f>
        <v/>
      </c>
      <c r="W128" s="51" t="str">
        <f>IFERROR(C128/المهارات!$G$27,"")</f>
        <v/>
      </c>
    </row>
    <row r="129" spans="1:23" ht="14.25" customHeight="1">
      <c r="A129" s="42" t="s">
        <v>198</v>
      </c>
      <c r="B129" s="42" t="s">
        <v>22</v>
      </c>
      <c r="C129" s="50" t="str">
        <f>IF(COUNT(الرصد!C129:Y129)=0,"",SUM(الرصد!C129:Y129))</f>
        <v/>
      </c>
      <c r="D129" s="51" t="str">
        <f>IF(OR(D$2="",COUNT(الرصد!$C129:$Y129)=0),"",IFERROR(SUMIF(معالجة!$B$3:$X$3,D$2,الرصد!$C129:$Y129)/SUMIF(معالجة!$B$3:$X$3,D$2,معالجة!$B$4:$X$4),""))</f>
        <v/>
      </c>
      <c r="E129" s="51" t="str">
        <f>IF(OR(E$2="",COUNT(الرصد!$C129:$Y129)=0),"",IFERROR(SUMIF(معالجة!$B$3:$X$3,E$2,الرصد!$C129:$Y129)/SUMIF(معالجة!$B$3:$X$3,E$2,معالجة!$B$4:$X$4),""))</f>
        <v/>
      </c>
      <c r="F129" s="51" t="str">
        <f>IF(OR(F$2="",COUNT(الرصد!$C129:$Y129)=0),"",IFERROR(SUMIF(معالجة!$B$3:$X$3,F$2,الرصد!$C129:$Y129)/SUMIF(معالجة!$B$3:$X$3,F$2,معالجة!$B$4:$X$4),""))</f>
        <v/>
      </c>
      <c r="G129" s="51" t="str">
        <f>IF(OR(G$2="",COUNT(الرصد!$C129:$Y129)=0),"",IFERROR(SUMIF(معالجة!$B$3:$X$3,G$2,الرصد!$C129:$Y129)/SUMIF(معالجة!$B$3:$X$3,G$2,معالجة!$B$4:$X$4),""))</f>
        <v/>
      </c>
      <c r="H129" s="51" t="str">
        <f>IF(OR(H$2="",COUNT(الرصد!$C129:$Y129)=0),"",IFERROR(SUMIF(معالجة!$B$3:$X$3,H$2,الرصد!$C129:$Y129)/SUMIF(معالجة!$B$3:$X$3,H$2,معالجة!$B$4:$X$4),""))</f>
        <v/>
      </c>
      <c r="I129" s="51" t="str">
        <f>IF(OR(I$2="",COUNT(الرصد!$C129:$Y129)=0),"",IFERROR(SUMIF(معالجة!$B$3:$X$3,I$2,الرصد!$C129:$Y129)/SUMIF(معالجة!$B$3:$X$3,I$2,معالجة!$B$4:$X$4),""))</f>
        <v/>
      </c>
      <c r="J129" s="51" t="str">
        <f>IF(OR(J$2="",COUNT(الرصد!$C129:$Y129)=0),"",IFERROR(SUMIF(معالجة!$B$3:$X$3,J$2,الرصد!$C129:$Y129)/SUMIF(معالجة!$B$3:$X$3,J$2,معالجة!$B$4:$X$4),""))</f>
        <v/>
      </c>
      <c r="K129" s="51" t="str">
        <f>IF(OR(K$2="",COUNT(الرصد!$C129:$Y129)=0),"",IFERROR(SUMIF(معالجة!$B$3:$X$3,K$2,الرصد!$C129:$Y129)/SUMIF(معالجة!$B$3:$X$3,K$2,معالجة!$B$4:$X$4),""))</f>
        <v/>
      </c>
      <c r="L129" s="51" t="str">
        <f>IF(OR(L$2="",COUNT(الرصد!$C129:$Y129)=0),"",IFERROR(SUMIF(معالجة!$B$3:$X$3,L$2,الرصد!$C129:$Y129)/SUMIF(معالجة!$B$3:$X$3,L$2,معالجة!$B$4:$X$4),""))</f>
        <v/>
      </c>
      <c r="M129" s="51" t="str">
        <f>IF(OR(M$2="",COUNT(الرصد!$C129:$Y129)=0),"",IFERROR(SUMIF(معالجة!$B$3:$X$3,M$2,الرصد!$C129:$Y129)/SUMIF(معالجة!$B$3:$X$3,M$2,معالجة!$B$4:$X$4),""))</f>
        <v/>
      </c>
      <c r="N129" s="51" t="str">
        <f>IF(OR(N$2="",COUNT(الرصد!$C129:$Y129)=0),"",IFERROR(SUMIF(معالجة!$B$3:$X$3,N$2,الرصد!$C129:$Y129)/SUMIF(معالجة!$B$3:$X$3,N$2,معالجة!$B$4:$X$4),""))</f>
        <v/>
      </c>
      <c r="O129" s="51" t="str">
        <f>IF(OR(O$2="",COUNT(الرصد!$C129:$Y129)=0),"",IFERROR(SUMIF(معالجة!$B$3:$X$3,O$2,الرصد!$C129:$Y129)/SUMIF(معالجة!$B$3:$X$3,O$2,معالجة!$B$4:$X$4),""))</f>
        <v/>
      </c>
      <c r="P129" s="51" t="str">
        <f>IF(OR(P$2="",COUNT(الرصد!$C129:$Y129)=0),"",IFERROR(SUMIF(معالجة!$B$3:$X$3,P$2,الرصد!$C129:$Y129)/SUMIF(معالجة!$B$3:$X$3,P$2,معالجة!$B$4:$X$4),""))</f>
        <v/>
      </c>
      <c r="Q129" s="51" t="str">
        <f>IF(OR(Q$2="",COUNT(الرصد!$C129:$Y129)=0),"",IFERROR(SUMIF(معالجة!$B$3:$X$3,Q$2,الرصد!$C129:$Y129)/SUMIF(معالجة!$B$3:$X$3,Q$2,معالجة!$B$4:$X$4),""))</f>
        <v/>
      </c>
      <c r="R129" s="51" t="str">
        <f>IF(OR(R$2="",COUNT(الرصد!$C129:$Y129)=0),"",IFERROR(SUMIF(معالجة!$B$3:$X$3,R$2,الرصد!$C129:$Y129)/SUMIF(معالجة!$B$3:$X$3,R$2,معالجة!$B$4:$X$4),""))</f>
        <v/>
      </c>
      <c r="S129" s="51" t="str">
        <f>IF(OR(S$2="",COUNT(الرصد!$C129:$Y129)=0),"",IFERROR(SUMIF(معالجة!$B$3:$X$3,S$2,الرصد!$C129:$Y129)/SUMIF(معالجة!$B$3:$X$3,S$2,معالجة!$B$4:$X$4),""))</f>
        <v/>
      </c>
      <c r="T129" s="51" t="str">
        <f>IF(OR(T$2="",COUNT(الرصد!$C129:$Y129)=0),"",IFERROR(SUMIF(معالجة!$B$3:$X$3,T$2,الرصد!$C129:$Y129)/SUMIF(معالجة!$B$3:$X$3,T$2,معالجة!$B$4:$X$4),""))</f>
        <v/>
      </c>
      <c r="U129" s="51" t="str">
        <f>IF(OR(U$2="",COUNT(الرصد!$C129:$Y129)=0),"",IFERROR(SUMIF(معالجة!$B$3:$X$3,U$2,الرصد!$C129:$Y129)/SUMIF(معالجة!$B$3:$X$3,U$2,معالجة!$B$4:$X$4),""))</f>
        <v/>
      </c>
      <c r="V129" s="51" t="str">
        <f>IF(OR(V$2="",COUNT(الرصد!$C129:$Y129)=0),"",IFERROR(SUMIF(معالجة!$B$3:$X$3,V$2,الرصد!$C129:$Y129)/SUMIF(معالجة!$B$3:$X$3,V$2,معالجة!$B$4:$X$4),""))</f>
        <v/>
      </c>
      <c r="W129" s="51" t="str">
        <f>IFERROR(C129/المهارات!$G$27,"")</f>
        <v/>
      </c>
    </row>
    <row r="130" spans="1:23" ht="14.25" customHeight="1">
      <c r="A130" s="46" t="s">
        <v>199</v>
      </c>
      <c r="B130" s="46" t="s">
        <v>22</v>
      </c>
      <c r="C130" s="52" t="str">
        <f>IF(COUNT(الرصد!C130:Y130)=0,"",SUM(الرصد!C130:Y130))</f>
        <v/>
      </c>
      <c r="D130" s="51" t="str">
        <f>IF(OR(D$2="",COUNT(الرصد!$C130:$Y130)=0),"",IFERROR(SUMIF(معالجة!$B$3:$X$3,D$2,الرصد!$C130:$Y130)/SUMIF(معالجة!$B$3:$X$3,D$2,معالجة!$B$4:$X$4),""))</f>
        <v/>
      </c>
      <c r="E130" s="51" t="str">
        <f>IF(OR(E$2="",COUNT(الرصد!$C130:$Y130)=0),"",IFERROR(SUMIF(معالجة!$B$3:$X$3,E$2,الرصد!$C130:$Y130)/SUMIF(معالجة!$B$3:$X$3,E$2,معالجة!$B$4:$X$4),""))</f>
        <v/>
      </c>
      <c r="F130" s="51" t="str">
        <f>IF(OR(F$2="",COUNT(الرصد!$C130:$Y130)=0),"",IFERROR(SUMIF(معالجة!$B$3:$X$3,F$2,الرصد!$C130:$Y130)/SUMIF(معالجة!$B$3:$X$3,F$2,معالجة!$B$4:$X$4),""))</f>
        <v/>
      </c>
      <c r="G130" s="51" t="str">
        <f>IF(OR(G$2="",COUNT(الرصد!$C130:$Y130)=0),"",IFERROR(SUMIF(معالجة!$B$3:$X$3,G$2,الرصد!$C130:$Y130)/SUMIF(معالجة!$B$3:$X$3,G$2,معالجة!$B$4:$X$4),""))</f>
        <v/>
      </c>
      <c r="H130" s="51" t="str">
        <f>IF(OR(H$2="",COUNT(الرصد!$C130:$Y130)=0),"",IFERROR(SUMIF(معالجة!$B$3:$X$3,H$2,الرصد!$C130:$Y130)/SUMIF(معالجة!$B$3:$X$3,H$2,معالجة!$B$4:$X$4),""))</f>
        <v/>
      </c>
      <c r="I130" s="51" t="str">
        <f>IF(OR(I$2="",COUNT(الرصد!$C130:$Y130)=0),"",IFERROR(SUMIF(معالجة!$B$3:$X$3,I$2,الرصد!$C130:$Y130)/SUMIF(معالجة!$B$3:$X$3,I$2,معالجة!$B$4:$X$4),""))</f>
        <v/>
      </c>
      <c r="J130" s="51" t="str">
        <f>IF(OR(J$2="",COUNT(الرصد!$C130:$Y130)=0),"",IFERROR(SUMIF(معالجة!$B$3:$X$3,J$2,الرصد!$C130:$Y130)/SUMIF(معالجة!$B$3:$X$3,J$2,معالجة!$B$4:$X$4),""))</f>
        <v/>
      </c>
      <c r="K130" s="51" t="str">
        <f>IF(OR(K$2="",COUNT(الرصد!$C130:$Y130)=0),"",IFERROR(SUMIF(معالجة!$B$3:$X$3,K$2,الرصد!$C130:$Y130)/SUMIF(معالجة!$B$3:$X$3,K$2,معالجة!$B$4:$X$4),""))</f>
        <v/>
      </c>
      <c r="L130" s="51" t="str">
        <f>IF(OR(L$2="",COUNT(الرصد!$C130:$Y130)=0),"",IFERROR(SUMIF(معالجة!$B$3:$X$3,L$2,الرصد!$C130:$Y130)/SUMIF(معالجة!$B$3:$X$3,L$2,معالجة!$B$4:$X$4),""))</f>
        <v/>
      </c>
      <c r="M130" s="51" t="str">
        <f>IF(OR(M$2="",COUNT(الرصد!$C130:$Y130)=0),"",IFERROR(SUMIF(معالجة!$B$3:$X$3,M$2,الرصد!$C130:$Y130)/SUMIF(معالجة!$B$3:$X$3,M$2,معالجة!$B$4:$X$4),""))</f>
        <v/>
      </c>
      <c r="N130" s="51" t="str">
        <f>IF(OR(N$2="",COUNT(الرصد!$C130:$Y130)=0),"",IFERROR(SUMIF(معالجة!$B$3:$X$3,N$2,الرصد!$C130:$Y130)/SUMIF(معالجة!$B$3:$X$3,N$2,معالجة!$B$4:$X$4),""))</f>
        <v/>
      </c>
      <c r="O130" s="51" t="str">
        <f>IF(OR(O$2="",COUNT(الرصد!$C130:$Y130)=0),"",IFERROR(SUMIF(معالجة!$B$3:$X$3,O$2,الرصد!$C130:$Y130)/SUMIF(معالجة!$B$3:$X$3,O$2,معالجة!$B$4:$X$4),""))</f>
        <v/>
      </c>
      <c r="P130" s="51" t="str">
        <f>IF(OR(P$2="",COUNT(الرصد!$C130:$Y130)=0),"",IFERROR(SUMIF(معالجة!$B$3:$X$3,P$2,الرصد!$C130:$Y130)/SUMIF(معالجة!$B$3:$X$3,P$2,معالجة!$B$4:$X$4),""))</f>
        <v/>
      </c>
      <c r="Q130" s="51" t="str">
        <f>IF(OR(Q$2="",COUNT(الرصد!$C130:$Y130)=0),"",IFERROR(SUMIF(معالجة!$B$3:$X$3,Q$2,الرصد!$C130:$Y130)/SUMIF(معالجة!$B$3:$X$3,Q$2,معالجة!$B$4:$X$4),""))</f>
        <v/>
      </c>
      <c r="R130" s="51" t="str">
        <f>IF(OR(R$2="",COUNT(الرصد!$C130:$Y130)=0),"",IFERROR(SUMIF(معالجة!$B$3:$X$3,R$2,الرصد!$C130:$Y130)/SUMIF(معالجة!$B$3:$X$3,R$2,معالجة!$B$4:$X$4),""))</f>
        <v/>
      </c>
      <c r="S130" s="51" t="str">
        <f>IF(OR(S$2="",COUNT(الرصد!$C130:$Y130)=0),"",IFERROR(SUMIF(معالجة!$B$3:$X$3,S$2,الرصد!$C130:$Y130)/SUMIF(معالجة!$B$3:$X$3,S$2,معالجة!$B$4:$X$4),""))</f>
        <v/>
      </c>
      <c r="T130" s="51" t="str">
        <f>IF(OR(T$2="",COUNT(الرصد!$C130:$Y130)=0),"",IFERROR(SUMIF(معالجة!$B$3:$X$3,T$2,الرصد!$C130:$Y130)/SUMIF(معالجة!$B$3:$X$3,T$2,معالجة!$B$4:$X$4),""))</f>
        <v/>
      </c>
      <c r="U130" s="51" t="str">
        <f>IF(OR(U$2="",COUNT(الرصد!$C130:$Y130)=0),"",IFERROR(SUMIF(معالجة!$B$3:$X$3,U$2,الرصد!$C130:$Y130)/SUMIF(معالجة!$B$3:$X$3,U$2,معالجة!$B$4:$X$4),""))</f>
        <v/>
      </c>
      <c r="V130" s="51" t="str">
        <f>IF(OR(V$2="",COUNT(الرصد!$C130:$Y130)=0),"",IFERROR(SUMIF(معالجة!$B$3:$X$3,V$2,الرصد!$C130:$Y130)/SUMIF(معالجة!$B$3:$X$3,V$2,معالجة!$B$4:$X$4),""))</f>
        <v/>
      </c>
      <c r="W130" s="51" t="str">
        <f>IFERROR(C130/المهارات!$G$27,"")</f>
        <v/>
      </c>
    </row>
    <row r="131" spans="1:23" ht="14.25" customHeight="1">
      <c r="A131" s="42" t="s">
        <v>200</v>
      </c>
      <c r="B131" s="42" t="s">
        <v>23</v>
      </c>
      <c r="C131" s="50" t="str">
        <f>IF(COUNT(الرصد!C131:Y131)=0,"",SUM(الرصد!C131:Y131))</f>
        <v/>
      </c>
      <c r="D131" s="51" t="str">
        <f>IF(OR(D$2="",COUNT(الرصد!$C131:$Y131)=0),"",IFERROR(SUMIF(معالجة!$B$3:$X$3,D$2,الرصد!$C131:$Y131)/SUMIF(معالجة!$B$3:$X$3,D$2,معالجة!$B$4:$X$4),""))</f>
        <v/>
      </c>
      <c r="E131" s="51" t="str">
        <f>IF(OR(E$2="",COUNT(الرصد!$C131:$Y131)=0),"",IFERROR(SUMIF(معالجة!$B$3:$X$3,E$2,الرصد!$C131:$Y131)/SUMIF(معالجة!$B$3:$X$3,E$2,معالجة!$B$4:$X$4),""))</f>
        <v/>
      </c>
      <c r="F131" s="51" t="str">
        <f>IF(OR(F$2="",COUNT(الرصد!$C131:$Y131)=0),"",IFERROR(SUMIF(معالجة!$B$3:$X$3,F$2,الرصد!$C131:$Y131)/SUMIF(معالجة!$B$3:$X$3,F$2,معالجة!$B$4:$X$4),""))</f>
        <v/>
      </c>
      <c r="G131" s="51" t="str">
        <f>IF(OR(G$2="",COUNT(الرصد!$C131:$Y131)=0),"",IFERROR(SUMIF(معالجة!$B$3:$X$3,G$2,الرصد!$C131:$Y131)/SUMIF(معالجة!$B$3:$X$3,G$2,معالجة!$B$4:$X$4),""))</f>
        <v/>
      </c>
      <c r="H131" s="51" t="str">
        <f>IF(OR(H$2="",COUNT(الرصد!$C131:$Y131)=0),"",IFERROR(SUMIF(معالجة!$B$3:$X$3,H$2,الرصد!$C131:$Y131)/SUMIF(معالجة!$B$3:$X$3,H$2,معالجة!$B$4:$X$4),""))</f>
        <v/>
      </c>
      <c r="I131" s="51" t="str">
        <f>IF(OR(I$2="",COUNT(الرصد!$C131:$Y131)=0),"",IFERROR(SUMIF(معالجة!$B$3:$X$3,I$2,الرصد!$C131:$Y131)/SUMIF(معالجة!$B$3:$X$3,I$2,معالجة!$B$4:$X$4),""))</f>
        <v/>
      </c>
      <c r="J131" s="51" t="str">
        <f>IF(OR(J$2="",COUNT(الرصد!$C131:$Y131)=0),"",IFERROR(SUMIF(معالجة!$B$3:$X$3,J$2,الرصد!$C131:$Y131)/SUMIF(معالجة!$B$3:$X$3,J$2,معالجة!$B$4:$X$4),""))</f>
        <v/>
      </c>
      <c r="K131" s="51" t="str">
        <f>IF(OR(K$2="",COUNT(الرصد!$C131:$Y131)=0),"",IFERROR(SUMIF(معالجة!$B$3:$X$3,K$2,الرصد!$C131:$Y131)/SUMIF(معالجة!$B$3:$X$3,K$2,معالجة!$B$4:$X$4),""))</f>
        <v/>
      </c>
      <c r="L131" s="51" t="str">
        <f>IF(OR(L$2="",COUNT(الرصد!$C131:$Y131)=0),"",IFERROR(SUMIF(معالجة!$B$3:$X$3,L$2,الرصد!$C131:$Y131)/SUMIF(معالجة!$B$3:$X$3,L$2,معالجة!$B$4:$X$4),""))</f>
        <v/>
      </c>
      <c r="M131" s="51" t="str">
        <f>IF(OR(M$2="",COUNT(الرصد!$C131:$Y131)=0),"",IFERROR(SUMIF(معالجة!$B$3:$X$3,M$2,الرصد!$C131:$Y131)/SUMIF(معالجة!$B$3:$X$3,M$2,معالجة!$B$4:$X$4),""))</f>
        <v/>
      </c>
      <c r="N131" s="51" t="str">
        <f>IF(OR(N$2="",COUNT(الرصد!$C131:$Y131)=0),"",IFERROR(SUMIF(معالجة!$B$3:$X$3,N$2,الرصد!$C131:$Y131)/SUMIF(معالجة!$B$3:$X$3,N$2,معالجة!$B$4:$X$4),""))</f>
        <v/>
      </c>
      <c r="O131" s="51" t="str">
        <f>IF(OR(O$2="",COUNT(الرصد!$C131:$Y131)=0),"",IFERROR(SUMIF(معالجة!$B$3:$X$3,O$2,الرصد!$C131:$Y131)/SUMIF(معالجة!$B$3:$X$3,O$2,معالجة!$B$4:$X$4),""))</f>
        <v/>
      </c>
      <c r="P131" s="51" t="str">
        <f>IF(OR(P$2="",COUNT(الرصد!$C131:$Y131)=0),"",IFERROR(SUMIF(معالجة!$B$3:$X$3,P$2,الرصد!$C131:$Y131)/SUMIF(معالجة!$B$3:$X$3,P$2,معالجة!$B$4:$X$4),""))</f>
        <v/>
      </c>
      <c r="Q131" s="51" t="str">
        <f>IF(OR(Q$2="",COUNT(الرصد!$C131:$Y131)=0),"",IFERROR(SUMIF(معالجة!$B$3:$X$3,Q$2,الرصد!$C131:$Y131)/SUMIF(معالجة!$B$3:$X$3,Q$2,معالجة!$B$4:$X$4),""))</f>
        <v/>
      </c>
      <c r="R131" s="51" t="str">
        <f>IF(OR(R$2="",COUNT(الرصد!$C131:$Y131)=0),"",IFERROR(SUMIF(معالجة!$B$3:$X$3,R$2,الرصد!$C131:$Y131)/SUMIF(معالجة!$B$3:$X$3,R$2,معالجة!$B$4:$X$4),""))</f>
        <v/>
      </c>
      <c r="S131" s="51" t="str">
        <f>IF(OR(S$2="",COUNT(الرصد!$C131:$Y131)=0),"",IFERROR(SUMIF(معالجة!$B$3:$X$3,S$2,الرصد!$C131:$Y131)/SUMIF(معالجة!$B$3:$X$3,S$2,معالجة!$B$4:$X$4),""))</f>
        <v/>
      </c>
      <c r="T131" s="51" t="str">
        <f>IF(OR(T$2="",COUNT(الرصد!$C131:$Y131)=0),"",IFERROR(SUMIF(معالجة!$B$3:$X$3,T$2,الرصد!$C131:$Y131)/SUMIF(معالجة!$B$3:$X$3,T$2,معالجة!$B$4:$X$4),""))</f>
        <v/>
      </c>
      <c r="U131" s="51" t="str">
        <f>IF(OR(U$2="",COUNT(الرصد!$C131:$Y131)=0),"",IFERROR(SUMIF(معالجة!$B$3:$X$3,U$2,الرصد!$C131:$Y131)/SUMIF(معالجة!$B$3:$X$3,U$2,معالجة!$B$4:$X$4),""))</f>
        <v/>
      </c>
      <c r="V131" s="51" t="str">
        <f>IF(OR(V$2="",COUNT(الرصد!$C131:$Y131)=0),"",IFERROR(SUMIF(معالجة!$B$3:$X$3,V$2,الرصد!$C131:$Y131)/SUMIF(معالجة!$B$3:$X$3,V$2,معالجة!$B$4:$X$4),""))</f>
        <v/>
      </c>
      <c r="W131" s="51" t="str">
        <f>IFERROR(C131/المهارات!$G$27,"")</f>
        <v/>
      </c>
    </row>
    <row r="132" spans="1:23" ht="14.25" customHeight="1">
      <c r="A132" s="46" t="s">
        <v>201</v>
      </c>
      <c r="B132" s="46" t="s">
        <v>23</v>
      </c>
      <c r="C132" s="52" t="str">
        <f>IF(COUNT(الرصد!C132:Y132)=0,"",SUM(الرصد!C132:Y132))</f>
        <v/>
      </c>
      <c r="D132" s="51" t="str">
        <f>IF(OR(D$2="",COUNT(الرصد!$C132:$Y132)=0),"",IFERROR(SUMIF(معالجة!$B$3:$X$3,D$2,الرصد!$C132:$Y132)/SUMIF(معالجة!$B$3:$X$3,D$2,معالجة!$B$4:$X$4),""))</f>
        <v/>
      </c>
      <c r="E132" s="51" t="str">
        <f>IF(OR(E$2="",COUNT(الرصد!$C132:$Y132)=0),"",IFERROR(SUMIF(معالجة!$B$3:$X$3,E$2,الرصد!$C132:$Y132)/SUMIF(معالجة!$B$3:$X$3,E$2,معالجة!$B$4:$X$4),""))</f>
        <v/>
      </c>
      <c r="F132" s="51" t="str">
        <f>IF(OR(F$2="",COUNT(الرصد!$C132:$Y132)=0),"",IFERROR(SUMIF(معالجة!$B$3:$X$3,F$2,الرصد!$C132:$Y132)/SUMIF(معالجة!$B$3:$X$3,F$2,معالجة!$B$4:$X$4),""))</f>
        <v/>
      </c>
      <c r="G132" s="51" t="str">
        <f>IF(OR(G$2="",COUNT(الرصد!$C132:$Y132)=0),"",IFERROR(SUMIF(معالجة!$B$3:$X$3,G$2,الرصد!$C132:$Y132)/SUMIF(معالجة!$B$3:$X$3,G$2,معالجة!$B$4:$X$4),""))</f>
        <v/>
      </c>
      <c r="H132" s="51" t="str">
        <f>IF(OR(H$2="",COUNT(الرصد!$C132:$Y132)=0),"",IFERROR(SUMIF(معالجة!$B$3:$X$3,H$2,الرصد!$C132:$Y132)/SUMIF(معالجة!$B$3:$X$3,H$2,معالجة!$B$4:$X$4),""))</f>
        <v/>
      </c>
      <c r="I132" s="51" t="str">
        <f>IF(OR(I$2="",COUNT(الرصد!$C132:$Y132)=0),"",IFERROR(SUMIF(معالجة!$B$3:$X$3,I$2,الرصد!$C132:$Y132)/SUMIF(معالجة!$B$3:$X$3,I$2,معالجة!$B$4:$X$4),""))</f>
        <v/>
      </c>
      <c r="J132" s="51" t="str">
        <f>IF(OR(J$2="",COUNT(الرصد!$C132:$Y132)=0),"",IFERROR(SUMIF(معالجة!$B$3:$X$3,J$2,الرصد!$C132:$Y132)/SUMIF(معالجة!$B$3:$X$3,J$2,معالجة!$B$4:$X$4),""))</f>
        <v/>
      </c>
      <c r="K132" s="51" t="str">
        <f>IF(OR(K$2="",COUNT(الرصد!$C132:$Y132)=0),"",IFERROR(SUMIF(معالجة!$B$3:$X$3,K$2,الرصد!$C132:$Y132)/SUMIF(معالجة!$B$3:$X$3,K$2,معالجة!$B$4:$X$4),""))</f>
        <v/>
      </c>
      <c r="L132" s="51" t="str">
        <f>IF(OR(L$2="",COUNT(الرصد!$C132:$Y132)=0),"",IFERROR(SUMIF(معالجة!$B$3:$X$3,L$2,الرصد!$C132:$Y132)/SUMIF(معالجة!$B$3:$X$3,L$2,معالجة!$B$4:$X$4),""))</f>
        <v/>
      </c>
      <c r="M132" s="51" t="str">
        <f>IF(OR(M$2="",COUNT(الرصد!$C132:$Y132)=0),"",IFERROR(SUMIF(معالجة!$B$3:$X$3,M$2,الرصد!$C132:$Y132)/SUMIF(معالجة!$B$3:$X$3,M$2,معالجة!$B$4:$X$4),""))</f>
        <v/>
      </c>
      <c r="N132" s="51" t="str">
        <f>IF(OR(N$2="",COUNT(الرصد!$C132:$Y132)=0),"",IFERROR(SUMIF(معالجة!$B$3:$X$3,N$2,الرصد!$C132:$Y132)/SUMIF(معالجة!$B$3:$X$3,N$2,معالجة!$B$4:$X$4),""))</f>
        <v/>
      </c>
      <c r="O132" s="51" t="str">
        <f>IF(OR(O$2="",COUNT(الرصد!$C132:$Y132)=0),"",IFERROR(SUMIF(معالجة!$B$3:$X$3,O$2,الرصد!$C132:$Y132)/SUMIF(معالجة!$B$3:$X$3,O$2,معالجة!$B$4:$X$4),""))</f>
        <v/>
      </c>
      <c r="P132" s="51" t="str">
        <f>IF(OR(P$2="",COUNT(الرصد!$C132:$Y132)=0),"",IFERROR(SUMIF(معالجة!$B$3:$X$3,P$2,الرصد!$C132:$Y132)/SUMIF(معالجة!$B$3:$X$3,P$2,معالجة!$B$4:$X$4),""))</f>
        <v/>
      </c>
      <c r="Q132" s="51" t="str">
        <f>IF(OR(Q$2="",COUNT(الرصد!$C132:$Y132)=0),"",IFERROR(SUMIF(معالجة!$B$3:$X$3,Q$2,الرصد!$C132:$Y132)/SUMIF(معالجة!$B$3:$X$3,Q$2,معالجة!$B$4:$X$4),""))</f>
        <v/>
      </c>
      <c r="R132" s="51" t="str">
        <f>IF(OR(R$2="",COUNT(الرصد!$C132:$Y132)=0),"",IFERROR(SUMIF(معالجة!$B$3:$X$3,R$2,الرصد!$C132:$Y132)/SUMIF(معالجة!$B$3:$X$3,R$2,معالجة!$B$4:$X$4),""))</f>
        <v/>
      </c>
      <c r="S132" s="51" t="str">
        <f>IF(OR(S$2="",COUNT(الرصد!$C132:$Y132)=0),"",IFERROR(SUMIF(معالجة!$B$3:$X$3,S$2,الرصد!$C132:$Y132)/SUMIF(معالجة!$B$3:$X$3,S$2,معالجة!$B$4:$X$4),""))</f>
        <v/>
      </c>
      <c r="T132" s="51" t="str">
        <f>IF(OR(T$2="",COUNT(الرصد!$C132:$Y132)=0),"",IFERROR(SUMIF(معالجة!$B$3:$X$3,T$2,الرصد!$C132:$Y132)/SUMIF(معالجة!$B$3:$X$3,T$2,معالجة!$B$4:$X$4),""))</f>
        <v/>
      </c>
      <c r="U132" s="51" t="str">
        <f>IF(OR(U$2="",COUNT(الرصد!$C132:$Y132)=0),"",IFERROR(SUMIF(معالجة!$B$3:$X$3,U$2,الرصد!$C132:$Y132)/SUMIF(معالجة!$B$3:$X$3,U$2,معالجة!$B$4:$X$4),""))</f>
        <v/>
      </c>
      <c r="V132" s="51" t="str">
        <f>IF(OR(V$2="",COUNT(الرصد!$C132:$Y132)=0),"",IFERROR(SUMIF(معالجة!$B$3:$X$3,V$2,الرصد!$C132:$Y132)/SUMIF(معالجة!$B$3:$X$3,V$2,معالجة!$B$4:$X$4),""))</f>
        <v/>
      </c>
      <c r="W132" s="51" t="str">
        <f>IFERROR(C132/المهارات!$G$27,"")</f>
        <v/>
      </c>
    </row>
    <row r="133" spans="1:23" ht="14.25" customHeight="1">
      <c r="A133" s="42" t="s">
        <v>202</v>
      </c>
      <c r="B133" s="42" t="s">
        <v>23</v>
      </c>
      <c r="C133" s="50" t="str">
        <f>IF(COUNT(الرصد!C133:Y133)=0,"",SUM(الرصد!C133:Y133))</f>
        <v/>
      </c>
      <c r="D133" s="51" t="str">
        <f>IF(OR(D$2="",COUNT(الرصد!$C133:$Y133)=0),"",IFERROR(SUMIF(معالجة!$B$3:$X$3,D$2,الرصد!$C133:$Y133)/SUMIF(معالجة!$B$3:$X$3,D$2,معالجة!$B$4:$X$4),""))</f>
        <v/>
      </c>
      <c r="E133" s="51" t="str">
        <f>IF(OR(E$2="",COUNT(الرصد!$C133:$Y133)=0),"",IFERROR(SUMIF(معالجة!$B$3:$X$3,E$2,الرصد!$C133:$Y133)/SUMIF(معالجة!$B$3:$X$3,E$2,معالجة!$B$4:$X$4),""))</f>
        <v/>
      </c>
      <c r="F133" s="51" t="str">
        <f>IF(OR(F$2="",COUNT(الرصد!$C133:$Y133)=0),"",IFERROR(SUMIF(معالجة!$B$3:$X$3,F$2,الرصد!$C133:$Y133)/SUMIF(معالجة!$B$3:$X$3,F$2,معالجة!$B$4:$X$4),""))</f>
        <v/>
      </c>
      <c r="G133" s="51" t="str">
        <f>IF(OR(G$2="",COUNT(الرصد!$C133:$Y133)=0),"",IFERROR(SUMIF(معالجة!$B$3:$X$3,G$2,الرصد!$C133:$Y133)/SUMIF(معالجة!$B$3:$X$3,G$2,معالجة!$B$4:$X$4),""))</f>
        <v/>
      </c>
      <c r="H133" s="51" t="str">
        <f>IF(OR(H$2="",COUNT(الرصد!$C133:$Y133)=0),"",IFERROR(SUMIF(معالجة!$B$3:$X$3,H$2,الرصد!$C133:$Y133)/SUMIF(معالجة!$B$3:$X$3,H$2,معالجة!$B$4:$X$4),""))</f>
        <v/>
      </c>
      <c r="I133" s="51" t="str">
        <f>IF(OR(I$2="",COUNT(الرصد!$C133:$Y133)=0),"",IFERROR(SUMIF(معالجة!$B$3:$X$3,I$2,الرصد!$C133:$Y133)/SUMIF(معالجة!$B$3:$X$3,I$2,معالجة!$B$4:$X$4),""))</f>
        <v/>
      </c>
      <c r="J133" s="51" t="str">
        <f>IF(OR(J$2="",COUNT(الرصد!$C133:$Y133)=0),"",IFERROR(SUMIF(معالجة!$B$3:$X$3,J$2,الرصد!$C133:$Y133)/SUMIF(معالجة!$B$3:$X$3,J$2,معالجة!$B$4:$X$4),""))</f>
        <v/>
      </c>
      <c r="K133" s="51" t="str">
        <f>IF(OR(K$2="",COUNT(الرصد!$C133:$Y133)=0),"",IFERROR(SUMIF(معالجة!$B$3:$X$3,K$2,الرصد!$C133:$Y133)/SUMIF(معالجة!$B$3:$X$3,K$2,معالجة!$B$4:$X$4),""))</f>
        <v/>
      </c>
      <c r="L133" s="51" t="str">
        <f>IF(OR(L$2="",COUNT(الرصد!$C133:$Y133)=0),"",IFERROR(SUMIF(معالجة!$B$3:$X$3,L$2,الرصد!$C133:$Y133)/SUMIF(معالجة!$B$3:$X$3,L$2,معالجة!$B$4:$X$4),""))</f>
        <v/>
      </c>
      <c r="M133" s="51" t="str">
        <f>IF(OR(M$2="",COUNT(الرصد!$C133:$Y133)=0),"",IFERROR(SUMIF(معالجة!$B$3:$X$3,M$2,الرصد!$C133:$Y133)/SUMIF(معالجة!$B$3:$X$3,M$2,معالجة!$B$4:$X$4),""))</f>
        <v/>
      </c>
      <c r="N133" s="51" t="str">
        <f>IF(OR(N$2="",COUNT(الرصد!$C133:$Y133)=0),"",IFERROR(SUMIF(معالجة!$B$3:$X$3,N$2,الرصد!$C133:$Y133)/SUMIF(معالجة!$B$3:$X$3,N$2,معالجة!$B$4:$X$4),""))</f>
        <v/>
      </c>
      <c r="O133" s="51" t="str">
        <f>IF(OR(O$2="",COUNT(الرصد!$C133:$Y133)=0),"",IFERROR(SUMIF(معالجة!$B$3:$X$3,O$2,الرصد!$C133:$Y133)/SUMIF(معالجة!$B$3:$X$3,O$2,معالجة!$B$4:$X$4),""))</f>
        <v/>
      </c>
      <c r="P133" s="51" t="str">
        <f>IF(OR(P$2="",COUNT(الرصد!$C133:$Y133)=0),"",IFERROR(SUMIF(معالجة!$B$3:$X$3,P$2,الرصد!$C133:$Y133)/SUMIF(معالجة!$B$3:$X$3,P$2,معالجة!$B$4:$X$4),""))</f>
        <v/>
      </c>
      <c r="Q133" s="51" t="str">
        <f>IF(OR(Q$2="",COUNT(الرصد!$C133:$Y133)=0),"",IFERROR(SUMIF(معالجة!$B$3:$X$3,Q$2,الرصد!$C133:$Y133)/SUMIF(معالجة!$B$3:$X$3,Q$2,معالجة!$B$4:$X$4),""))</f>
        <v/>
      </c>
      <c r="R133" s="51" t="str">
        <f>IF(OR(R$2="",COUNT(الرصد!$C133:$Y133)=0),"",IFERROR(SUMIF(معالجة!$B$3:$X$3,R$2,الرصد!$C133:$Y133)/SUMIF(معالجة!$B$3:$X$3,R$2,معالجة!$B$4:$X$4),""))</f>
        <v/>
      </c>
      <c r="S133" s="51" t="str">
        <f>IF(OR(S$2="",COUNT(الرصد!$C133:$Y133)=0),"",IFERROR(SUMIF(معالجة!$B$3:$X$3,S$2,الرصد!$C133:$Y133)/SUMIF(معالجة!$B$3:$X$3,S$2,معالجة!$B$4:$X$4),""))</f>
        <v/>
      </c>
      <c r="T133" s="51" t="str">
        <f>IF(OR(T$2="",COUNT(الرصد!$C133:$Y133)=0),"",IFERROR(SUMIF(معالجة!$B$3:$X$3,T$2,الرصد!$C133:$Y133)/SUMIF(معالجة!$B$3:$X$3,T$2,معالجة!$B$4:$X$4),""))</f>
        <v/>
      </c>
      <c r="U133" s="51" t="str">
        <f>IF(OR(U$2="",COUNT(الرصد!$C133:$Y133)=0),"",IFERROR(SUMIF(معالجة!$B$3:$X$3,U$2,الرصد!$C133:$Y133)/SUMIF(معالجة!$B$3:$X$3,U$2,معالجة!$B$4:$X$4),""))</f>
        <v/>
      </c>
      <c r="V133" s="51" t="str">
        <f>IF(OR(V$2="",COUNT(الرصد!$C133:$Y133)=0),"",IFERROR(SUMIF(معالجة!$B$3:$X$3,V$2,الرصد!$C133:$Y133)/SUMIF(معالجة!$B$3:$X$3,V$2,معالجة!$B$4:$X$4),""))</f>
        <v/>
      </c>
      <c r="W133" s="51" t="str">
        <f>IFERROR(C133/المهارات!$G$27,"")</f>
        <v/>
      </c>
    </row>
    <row r="134" spans="1:23" ht="14.25" customHeight="1">
      <c r="A134" s="46" t="s">
        <v>203</v>
      </c>
      <c r="B134" s="46" t="s">
        <v>23</v>
      </c>
      <c r="C134" s="52" t="str">
        <f>IF(COUNT(الرصد!C134:Y134)=0,"",SUM(الرصد!C134:Y134))</f>
        <v/>
      </c>
      <c r="D134" s="51" t="str">
        <f>IF(OR(D$2="",COUNT(الرصد!$C134:$Y134)=0),"",IFERROR(SUMIF(معالجة!$B$3:$X$3,D$2,الرصد!$C134:$Y134)/SUMIF(معالجة!$B$3:$X$3,D$2,معالجة!$B$4:$X$4),""))</f>
        <v/>
      </c>
      <c r="E134" s="51" t="str">
        <f>IF(OR(E$2="",COUNT(الرصد!$C134:$Y134)=0),"",IFERROR(SUMIF(معالجة!$B$3:$X$3,E$2,الرصد!$C134:$Y134)/SUMIF(معالجة!$B$3:$X$3,E$2,معالجة!$B$4:$X$4),""))</f>
        <v/>
      </c>
      <c r="F134" s="51" t="str">
        <f>IF(OR(F$2="",COUNT(الرصد!$C134:$Y134)=0),"",IFERROR(SUMIF(معالجة!$B$3:$X$3,F$2,الرصد!$C134:$Y134)/SUMIF(معالجة!$B$3:$X$3,F$2,معالجة!$B$4:$X$4),""))</f>
        <v/>
      </c>
      <c r="G134" s="51" t="str">
        <f>IF(OR(G$2="",COUNT(الرصد!$C134:$Y134)=0),"",IFERROR(SUMIF(معالجة!$B$3:$X$3,G$2,الرصد!$C134:$Y134)/SUMIF(معالجة!$B$3:$X$3,G$2,معالجة!$B$4:$X$4),""))</f>
        <v/>
      </c>
      <c r="H134" s="51" t="str">
        <f>IF(OR(H$2="",COUNT(الرصد!$C134:$Y134)=0),"",IFERROR(SUMIF(معالجة!$B$3:$X$3,H$2,الرصد!$C134:$Y134)/SUMIF(معالجة!$B$3:$X$3,H$2,معالجة!$B$4:$X$4),""))</f>
        <v/>
      </c>
      <c r="I134" s="51" t="str">
        <f>IF(OR(I$2="",COUNT(الرصد!$C134:$Y134)=0),"",IFERROR(SUMIF(معالجة!$B$3:$X$3,I$2,الرصد!$C134:$Y134)/SUMIF(معالجة!$B$3:$X$3,I$2,معالجة!$B$4:$X$4),""))</f>
        <v/>
      </c>
      <c r="J134" s="51" t="str">
        <f>IF(OR(J$2="",COUNT(الرصد!$C134:$Y134)=0),"",IFERROR(SUMIF(معالجة!$B$3:$X$3,J$2,الرصد!$C134:$Y134)/SUMIF(معالجة!$B$3:$X$3,J$2,معالجة!$B$4:$X$4),""))</f>
        <v/>
      </c>
      <c r="K134" s="51" t="str">
        <f>IF(OR(K$2="",COUNT(الرصد!$C134:$Y134)=0),"",IFERROR(SUMIF(معالجة!$B$3:$X$3,K$2,الرصد!$C134:$Y134)/SUMIF(معالجة!$B$3:$X$3,K$2,معالجة!$B$4:$X$4),""))</f>
        <v/>
      </c>
      <c r="L134" s="51" t="str">
        <f>IF(OR(L$2="",COUNT(الرصد!$C134:$Y134)=0),"",IFERROR(SUMIF(معالجة!$B$3:$X$3,L$2,الرصد!$C134:$Y134)/SUMIF(معالجة!$B$3:$X$3,L$2,معالجة!$B$4:$X$4),""))</f>
        <v/>
      </c>
      <c r="M134" s="51" t="str">
        <f>IF(OR(M$2="",COUNT(الرصد!$C134:$Y134)=0),"",IFERROR(SUMIF(معالجة!$B$3:$X$3,M$2,الرصد!$C134:$Y134)/SUMIF(معالجة!$B$3:$X$3,M$2,معالجة!$B$4:$X$4),""))</f>
        <v/>
      </c>
      <c r="N134" s="51" t="str">
        <f>IF(OR(N$2="",COUNT(الرصد!$C134:$Y134)=0),"",IFERROR(SUMIF(معالجة!$B$3:$X$3,N$2,الرصد!$C134:$Y134)/SUMIF(معالجة!$B$3:$X$3,N$2,معالجة!$B$4:$X$4),""))</f>
        <v/>
      </c>
      <c r="O134" s="51" t="str">
        <f>IF(OR(O$2="",COUNT(الرصد!$C134:$Y134)=0),"",IFERROR(SUMIF(معالجة!$B$3:$X$3,O$2,الرصد!$C134:$Y134)/SUMIF(معالجة!$B$3:$X$3,O$2,معالجة!$B$4:$X$4),""))</f>
        <v/>
      </c>
      <c r="P134" s="51" t="str">
        <f>IF(OR(P$2="",COUNT(الرصد!$C134:$Y134)=0),"",IFERROR(SUMIF(معالجة!$B$3:$X$3,P$2,الرصد!$C134:$Y134)/SUMIF(معالجة!$B$3:$X$3,P$2,معالجة!$B$4:$X$4),""))</f>
        <v/>
      </c>
      <c r="Q134" s="51" t="str">
        <f>IF(OR(Q$2="",COUNT(الرصد!$C134:$Y134)=0),"",IFERROR(SUMIF(معالجة!$B$3:$X$3,Q$2,الرصد!$C134:$Y134)/SUMIF(معالجة!$B$3:$X$3,Q$2,معالجة!$B$4:$X$4),""))</f>
        <v/>
      </c>
      <c r="R134" s="51" t="str">
        <f>IF(OR(R$2="",COUNT(الرصد!$C134:$Y134)=0),"",IFERROR(SUMIF(معالجة!$B$3:$X$3,R$2,الرصد!$C134:$Y134)/SUMIF(معالجة!$B$3:$X$3,R$2,معالجة!$B$4:$X$4),""))</f>
        <v/>
      </c>
      <c r="S134" s="51" t="str">
        <f>IF(OR(S$2="",COUNT(الرصد!$C134:$Y134)=0),"",IFERROR(SUMIF(معالجة!$B$3:$X$3,S$2,الرصد!$C134:$Y134)/SUMIF(معالجة!$B$3:$X$3,S$2,معالجة!$B$4:$X$4),""))</f>
        <v/>
      </c>
      <c r="T134" s="51" t="str">
        <f>IF(OR(T$2="",COUNT(الرصد!$C134:$Y134)=0),"",IFERROR(SUMIF(معالجة!$B$3:$X$3,T$2,الرصد!$C134:$Y134)/SUMIF(معالجة!$B$3:$X$3,T$2,معالجة!$B$4:$X$4),""))</f>
        <v/>
      </c>
      <c r="U134" s="51" t="str">
        <f>IF(OR(U$2="",COUNT(الرصد!$C134:$Y134)=0),"",IFERROR(SUMIF(معالجة!$B$3:$X$3,U$2,الرصد!$C134:$Y134)/SUMIF(معالجة!$B$3:$X$3,U$2,معالجة!$B$4:$X$4),""))</f>
        <v/>
      </c>
      <c r="V134" s="51" t="str">
        <f>IF(OR(V$2="",COUNT(الرصد!$C134:$Y134)=0),"",IFERROR(SUMIF(معالجة!$B$3:$X$3,V$2,الرصد!$C134:$Y134)/SUMIF(معالجة!$B$3:$X$3,V$2,معالجة!$B$4:$X$4),""))</f>
        <v/>
      </c>
      <c r="W134" s="51" t="str">
        <f>IFERROR(C134/المهارات!$G$27,"")</f>
        <v/>
      </c>
    </row>
    <row r="135" spans="1:23" ht="14.25" customHeight="1">
      <c r="A135" s="42" t="s">
        <v>204</v>
      </c>
      <c r="B135" s="42" t="s">
        <v>23</v>
      </c>
      <c r="C135" s="50" t="str">
        <f>IF(COUNT(الرصد!C135:Y135)=0,"",SUM(الرصد!C135:Y135))</f>
        <v/>
      </c>
      <c r="D135" s="51" t="str">
        <f>IF(OR(D$2="",COUNT(الرصد!$C135:$Y135)=0),"",IFERROR(SUMIF(معالجة!$B$3:$X$3,D$2,الرصد!$C135:$Y135)/SUMIF(معالجة!$B$3:$X$3,D$2,معالجة!$B$4:$X$4),""))</f>
        <v/>
      </c>
      <c r="E135" s="51" t="str">
        <f>IF(OR(E$2="",COUNT(الرصد!$C135:$Y135)=0),"",IFERROR(SUMIF(معالجة!$B$3:$X$3,E$2,الرصد!$C135:$Y135)/SUMIF(معالجة!$B$3:$X$3,E$2,معالجة!$B$4:$X$4),""))</f>
        <v/>
      </c>
      <c r="F135" s="51" t="str">
        <f>IF(OR(F$2="",COUNT(الرصد!$C135:$Y135)=0),"",IFERROR(SUMIF(معالجة!$B$3:$X$3,F$2,الرصد!$C135:$Y135)/SUMIF(معالجة!$B$3:$X$3,F$2,معالجة!$B$4:$X$4),""))</f>
        <v/>
      </c>
      <c r="G135" s="51" t="str">
        <f>IF(OR(G$2="",COUNT(الرصد!$C135:$Y135)=0),"",IFERROR(SUMIF(معالجة!$B$3:$X$3,G$2,الرصد!$C135:$Y135)/SUMIF(معالجة!$B$3:$X$3,G$2,معالجة!$B$4:$X$4),""))</f>
        <v/>
      </c>
      <c r="H135" s="51" t="str">
        <f>IF(OR(H$2="",COUNT(الرصد!$C135:$Y135)=0),"",IFERROR(SUMIF(معالجة!$B$3:$X$3,H$2,الرصد!$C135:$Y135)/SUMIF(معالجة!$B$3:$X$3,H$2,معالجة!$B$4:$X$4),""))</f>
        <v/>
      </c>
      <c r="I135" s="51" t="str">
        <f>IF(OR(I$2="",COUNT(الرصد!$C135:$Y135)=0),"",IFERROR(SUMIF(معالجة!$B$3:$X$3,I$2,الرصد!$C135:$Y135)/SUMIF(معالجة!$B$3:$X$3,I$2,معالجة!$B$4:$X$4),""))</f>
        <v/>
      </c>
      <c r="J135" s="51" t="str">
        <f>IF(OR(J$2="",COUNT(الرصد!$C135:$Y135)=0),"",IFERROR(SUMIF(معالجة!$B$3:$X$3,J$2,الرصد!$C135:$Y135)/SUMIF(معالجة!$B$3:$X$3,J$2,معالجة!$B$4:$X$4),""))</f>
        <v/>
      </c>
      <c r="K135" s="51" t="str">
        <f>IF(OR(K$2="",COUNT(الرصد!$C135:$Y135)=0),"",IFERROR(SUMIF(معالجة!$B$3:$X$3,K$2,الرصد!$C135:$Y135)/SUMIF(معالجة!$B$3:$X$3,K$2,معالجة!$B$4:$X$4),""))</f>
        <v/>
      </c>
      <c r="L135" s="51" t="str">
        <f>IF(OR(L$2="",COUNT(الرصد!$C135:$Y135)=0),"",IFERROR(SUMIF(معالجة!$B$3:$X$3,L$2,الرصد!$C135:$Y135)/SUMIF(معالجة!$B$3:$X$3,L$2,معالجة!$B$4:$X$4),""))</f>
        <v/>
      </c>
      <c r="M135" s="51" t="str">
        <f>IF(OR(M$2="",COUNT(الرصد!$C135:$Y135)=0),"",IFERROR(SUMIF(معالجة!$B$3:$X$3,M$2,الرصد!$C135:$Y135)/SUMIF(معالجة!$B$3:$X$3,M$2,معالجة!$B$4:$X$4),""))</f>
        <v/>
      </c>
      <c r="N135" s="51" t="str">
        <f>IF(OR(N$2="",COUNT(الرصد!$C135:$Y135)=0),"",IFERROR(SUMIF(معالجة!$B$3:$X$3,N$2,الرصد!$C135:$Y135)/SUMIF(معالجة!$B$3:$X$3,N$2,معالجة!$B$4:$X$4),""))</f>
        <v/>
      </c>
      <c r="O135" s="51" t="str">
        <f>IF(OR(O$2="",COUNT(الرصد!$C135:$Y135)=0),"",IFERROR(SUMIF(معالجة!$B$3:$X$3,O$2,الرصد!$C135:$Y135)/SUMIF(معالجة!$B$3:$X$3,O$2,معالجة!$B$4:$X$4),""))</f>
        <v/>
      </c>
      <c r="P135" s="51" t="str">
        <f>IF(OR(P$2="",COUNT(الرصد!$C135:$Y135)=0),"",IFERROR(SUMIF(معالجة!$B$3:$X$3,P$2,الرصد!$C135:$Y135)/SUMIF(معالجة!$B$3:$X$3,P$2,معالجة!$B$4:$X$4),""))</f>
        <v/>
      </c>
      <c r="Q135" s="51" t="str">
        <f>IF(OR(Q$2="",COUNT(الرصد!$C135:$Y135)=0),"",IFERROR(SUMIF(معالجة!$B$3:$X$3,Q$2,الرصد!$C135:$Y135)/SUMIF(معالجة!$B$3:$X$3,Q$2,معالجة!$B$4:$X$4),""))</f>
        <v/>
      </c>
      <c r="R135" s="51" t="str">
        <f>IF(OR(R$2="",COUNT(الرصد!$C135:$Y135)=0),"",IFERROR(SUMIF(معالجة!$B$3:$X$3,R$2,الرصد!$C135:$Y135)/SUMIF(معالجة!$B$3:$X$3,R$2,معالجة!$B$4:$X$4),""))</f>
        <v/>
      </c>
      <c r="S135" s="51" t="str">
        <f>IF(OR(S$2="",COUNT(الرصد!$C135:$Y135)=0),"",IFERROR(SUMIF(معالجة!$B$3:$X$3,S$2,الرصد!$C135:$Y135)/SUMIF(معالجة!$B$3:$X$3,S$2,معالجة!$B$4:$X$4),""))</f>
        <v/>
      </c>
      <c r="T135" s="51" t="str">
        <f>IF(OR(T$2="",COUNT(الرصد!$C135:$Y135)=0),"",IFERROR(SUMIF(معالجة!$B$3:$X$3,T$2,الرصد!$C135:$Y135)/SUMIF(معالجة!$B$3:$X$3,T$2,معالجة!$B$4:$X$4),""))</f>
        <v/>
      </c>
      <c r="U135" s="51" t="str">
        <f>IF(OR(U$2="",COUNT(الرصد!$C135:$Y135)=0),"",IFERROR(SUMIF(معالجة!$B$3:$X$3,U$2,الرصد!$C135:$Y135)/SUMIF(معالجة!$B$3:$X$3,U$2,معالجة!$B$4:$X$4),""))</f>
        <v/>
      </c>
      <c r="V135" s="51" t="str">
        <f>IF(OR(V$2="",COUNT(الرصد!$C135:$Y135)=0),"",IFERROR(SUMIF(معالجة!$B$3:$X$3,V$2,الرصد!$C135:$Y135)/SUMIF(معالجة!$B$3:$X$3,V$2,معالجة!$B$4:$X$4),""))</f>
        <v/>
      </c>
      <c r="W135" s="51" t="str">
        <f>IFERROR(C135/المهارات!$G$27,"")</f>
        <v/>
      </c>
    </row>
    <row r="136" spans="1:23" ht="14.25" customHeight="1">
      <c r="A136" s="46" t="s">
        <v>205</v>
      </c>
      <c r="B136" s="46" t="s">
        <v>23</v>
      </c>
      <c r="C136" s="52" t="str">
        <f>IF(COUNT(الرصد!C136:Y136)=0,"",SUM(الرصد!C136:Y136))</f>
        <v/>
      </c>
      <c r="D136" s="51" t="str">
        <f>IF(OR(D$2="",COUNT(الرصد!$C136:$Y136)=0),"",IFERROR(SUMIF(معالجة!$B$3:$X$3,D$2,الرصد!$C136:$Y136)/SUMIF(معالجة!$B$3:$X$3,D$2,معالجة!$B$4:$X$4),""))</f>
        <v/>
      </c>
      <c r="E136" s="51" t="str">
        <f>IF(OR(E$2="",COUNT(الرصد!$C136:$Y136)=0),"",IFERROR(SUMIF(معالجة!$B$3:$X$3,E$2,الرصد!$C136:$Y136)/SUMIF(معالجة!$B$3:$X$3,E$2,معالجة!$B$4:$X$4),""))</f>
        <v/>
      </c>
      <c r="F136" s="51" t="str">
        <f>IF(OR(F$2="",COUNT(الرصد!$C136:$Y136)=0),"",IFERROR(SUMIF(معالجة!$B$3:$X$3,F$2,الرصد!$C136:$Y136)/SUMIF(معالجة!$B$3:$X$3,F$2,معالجة!$B$4:$X$4),""))</f>
        <v/>
      </c>
      <c r="G136" s="51" t="str">
        <f>IF(OR(G$2="",COUNT(الرصد!$C136:$Y136)=0),"",IFERROR(SUMIF(معالجة!$B$3:$X$3,G$2,الرصد!$C136:$Y136)/SUMIF(معالجة!$B$3:$X$3,G$2,معالجة!$B$4:$X$4),""))</f>
        <v/>
      </c>
      <c r="H136" s="51" t="str">
        <f>IF(OR(H$2="",COUNT(الرصد!$C136:$Y136)=0),"",IFERROR(SUMIF(معالجة!$B$3:$X$3,H$2,الرصد!$C136:$Y136)/SUMIF(معالجة!$B$3:$X$3,H$2,معالجة!$B$4:$X$4),""))</f>
        <v/>
      </c>
      <c r="I136" s="51" t="str">
        <f>IF(OR(I$2="",COUNT(الرصد!$C136:$Y136)=0),"",IFERROR(SUMIF(معالجة!$B$3:$X$3,I$2,الرصد!$C136:$Y136)/SUMIF(معالجة!$B$3:$X$3,I$2,معالجة!$B$4:$X$4),""))</f>
        <v/>
      </c>
      <c r="J136" s="51" t="str">
        <f>IF(OR(J$2="",COUNT(الرصد!$C136:$Y136)=0),"",IFERROR(SUMIF(معالجة!$B$3:$X$3,J$2,الرصد!$C136:$Y136)/SUMIF(معالجة!$B$3:$X$3,J$2,معالجة!$B$4:$X$4),""))</f>
        <v/>
      </c>
      <c r="K136" s="51" t="str">
        <f>IF(OR(K$2="",COUNT(الرصد!$C136:$Y136)=0),"",IFERROR(SUMIF(معالجة!$B$3:$X$3,K$2,الرصد!$C136:$Y136)/SUMIF(معالجة!$B$3:$X$3,K$2,معالجة!$B$4:$X$4),""))</f>
        <v/>
      </c>
      <c r="L136" s="51" t="str">
        <f>IF(OR(L$2="",COUNT(الرصد!$C136:$Y136)=0),"",IFERROR(SUMIF(معالجة!$B$3:$X$3,L$2,الرصد!$C136:$Y136)/SUMIF(معالجة!$B$3:$X$3,L$2,معالجة!$B$4:$X$4),""))</f>
        <v/>
      </c>
      <c r="M136" s="51" t="str">
        <f>IF(OR(M$2="",COUNT(الرصد!$C136:$Y136)=0),"",IFERROR(SUMIF(معالجة!$B$3:$X$3,M$2,الرصد!$C136:$Y136)/SUMIF(معالجة!$B$3:$X$3,M$2,معالجة!$B$4:$X$4),""))</f>
        <v/>
      </c>
      <c r="N136" s="51" t="str">
        <f>IF(OR(N$2="",COUNT(الرصد!$C136:$Y136)=0),"",IFERROR(SUMIF(معالجة!$B$3:$X$3,N$2,الرصد!$C136:$Y136)/SUMIF(معالجة!$B$3:$X$3,N$2,معالجة!$B$4:$X$4),""))</f>
        <v/>
      </c>
      <c r="O136" s="51" t="str">
        <f>IF(OR(O$2="",COUNT(الرصد!$C136:$Y136)=0),"",IFERROR(SUMIF(معالجة!$B$3:$X$3,O$2,الرصد!$C136:$Y136)/SUMIF(معالجة!$B$3:$X$3,O$2,معالجة!$B$4:$X$4),""))</f>
        <v/>
      </c>
      <c r="P136" s="51" t="str">
        <f>IF(OR(P$2="",COUNT(الرصد!$C136:$Y136)=0),"",IFERROR(SUMIF(معالجة!$B$3:$X$3,P$2,الرصد!$C136:$Y136)/SUMIF(معالجة!$B$3:$X$3,P$2,معالجة!$B$4:$X$4),""))</f>
        <v/>
      </c>
      <c r="Q136" s="51" t="str">
        <f>IF(OR(Q$2="",COUNT(الرصد!$C136:$Y136)=0),"",IFERROR(SUMIF(معالجة!$B$3:$X$3,Q$2,الرصد!$C136:$Y136)/SUMIF(معالجة!$B$3:$X$3,Q$2,معالجة!$B$4:$X$4),""))</f>
        <v/>
      </c>
      <c r="R136" s="51" t="str">
        <f>IF(OR(R$2="",COUNT(الرصد!$C136:$Y136)=0),"",IFERROR(SUMIF(معالجة!$B$3:$X$3,R$2,الرصد!$C136:$Y136)/SUMIF(معالجة!$B$3:$X$3,R$2,معالجة!$B$4:$X$4),""))</f>
        <v/>
      </c>
      <c r="S136" s="51" t="str">
        <f>IF(OR(S$2="",COUNT(الرصد!$C136:$Y136)=0),"",IFERROR(SUMIF(معالجة!$B$3:$X$3,S$2,الرصد!$C136:$Y136)/SUMIF(معالجة!$B$3:$X$3,S$2,معالجة!$B$4:$X$4),""))</f>
        <v/>
      </c>
      <c r="T136" s="51" t="str">
        <f>IF(OR(T$2="",COUNT(الرصد!$C136:$Y136)=0),"",IFERROR(SUMIF(معالجة!$B$3:$X$3,T$2,الرصد!$C136:$Y136)/SUMIF(معالجة!$B$3:$X$3,T$2,معالجة!$B$4:$X$4),""))</f>
        <v/>
      </c>
      <c r="U136" s="51" t="str">
        <f>IF(OR(U$2="",COUNT(الرصد!$C136:$Y136)=0),"",IFERROR(SUMIF(معالجة!$B$3:$X$3,U$2,الرصد!$C136:$Y136)/SUMIF(معالجة!$B$3:$X$3,U$2,معالجة!$B$4:$X$4),""))</f>
        <v/>
      </c>
      <c r="V136" s="51" t="str">
        <f>IF(OR(V$2="",COUNT(الرصد!$C136:$Y136)=0),"",IFERROR(SUMIF(معالجة!$B$3:$X$3,V$2,الرصد!$C136:$Y136)/SUMIF(معالجة!$B$3:$X$3,V$2,معالجة!$B$4:$X$4),""))</f>
        <v/>
      </c>
      <c r="W136" s="51" t="str">
        <f>IFERROR(C136/المهارات!$G$27,"")</f>
        <v/>
      </c>
    </row>
    <row r="137" spans="1:23" ht="14.25" customHeight="1">
      <c r="A137" s="42" t="s">
        <v>206</v>
      </c>
      <c r="B137" s="42" t="s">
        <v>23</v>
      </c>
      <c r="C137" s="50" t="str">
        <f>IF(COUNT(الرصد!C137:Y137)=0,"",SUM(الرصد!C137:Y137))</f>
        <v/>
      </c>
      <c r="D137" s="51" t="str">
        <f>IF(OR(D$2="",COUNT(الرصد!$C137:$Y137)=0),"",IFERROR(SUMIF(معالجة!$B$3:$X$3,D$2,الرصد!$C137:$Y137)/SUMIF(معالجة!$B$3:$X$3,D$2,معالجة!$B$4:$X$4),""))</f>
        <v/>
      </c>
      <c r="E137" s="51" t="str">
        <f>IF(OR(E$2="",COUNT(الرصد!$C137:$Y137)=0),"",IFERROR(SUMIF(معالجة!$B$3:$X$3,E$2,الرصد!$C137:$Y137)/SUMIF(معالجة!$B$3:$X$3,E$2,معالجة!$B$4:$X$4),""))</f>
        <v/>
      </c>
      <c r="F137" s="51" t="str">
        <f>IF(OR(F$2="",COUNT(الرصد!$C137:$Y137)=0),"",IFERROR(SUMIF(معالجة!$B$3:$X$3,F$2,الرصد!$C137:$Y137)/SUMIF(معالجة!$B$3:$X$3,F$2,معالجة!$B$4:$X$4),""))</f>
        <v/>
      </c>
      <c r="G137" s="51" t="str">
        <f>IF(OR(G$2="",COUNT(الرصد!$C137:$Y137)=0),"",IFERROR(SUMIF(معالجة!$B$3:$X$3,G$2,الرصد!$C137:$Y137)/SUMIF(معالجة!$B$3:$X$3,G$2,معالجة!$B$4:$X$4),""))</f>
        <v/>
      </c>
      <c r="H137" s="51" t="str">
        <f>IF(OR(H$2="",COUNT(الرصد!$C137:$Y137)=0),"",IFERROR(SUMIF(معالجة!$B$3:$X$3,H$2,الرصد!$C137:$Y137)/SUMIF(معالجة!$B$3:$X$3,H$2,معالجة!$B$4:$X$4),""))</f>
        <v/>
      </c>
      <c r="I137" s="51" t="str">
        <f>IF(OR(I$2="",COUNT(الرصد!$C137:$Y137)=0),"",IFERROR(SUMIF(معالجة!$B$3:$X$3,I$2,الرصد!$C137:$Y137)/SUMIF(معالجة!$B$3:$X$3,I$2,معالجة!$B$4:$X$4),""))</f>
        <v/>
      </c>
      <c r="J137" s="51" t="str">
        <f>IF(OR(J$2="",COUNT(الرصد!$C137:$Y137)=0),"",IFERROR(SUMIF(معالجة!$B$3:$X$3,J$2,الرصد!$C137:$Y137)/SUMIF(معالجة!$B$3:$X$3,J$2,معالجة!$B$4:$X$4),""))</f>
        <v/>
      </c>
      <c r="K137" s="51" t="str">
        <f>IF(OR(K$2="",COUNT(الرصد!$C137:$Y137)=0),"",IFERROR(SUMIF(معالجة!$B$3:$X$3,K$2,الرصد!$C137:$Y137)/SUMIF(معالجة!$B$3:$X$3,K$2,معالجة!$B$4:$X$4),""))</f>
        <v/>
      </c>
      <c r="L137" s="51" t="str">
        <f>IF(OR(L$2="",COUNT(الرصد!$C137:$Y137)=0),"",IFERROR(SUMIF(معالجة!$B$3:$X$3,L$2,الرصد!$C137:$Y137)/SUMIF(معالجة!$B$3:$X$3,L$2,معالجة!$B$4:$X$4),""))</f>
        <v/>
      </c>
      <c r="M137" s="51" t="str">
        <f>IF(OR(M$2="",COUNT(الرصد!$C137:$Y137)=0),"",IFERROR(SUMIF(معالجة!$B$3:$X$3,M$2,الرصد!$C137:$Y137)/SUMIF(معالجة!$B$3:$X$3,M$2,معالجة!$B$4:$X$4),""))</f>
        <v/>
      </c>
      <c r="N137" s="51" t="str">
        <f>IF(OR(N$2="",COUNT(الرصد!$C137:$Y137)=0),"",IFERROR(SUMIF(معالجة!$B$3:$X$3,N$2,الرصد!$C137:$Y137)/SUMIF(معالجة!$B$3:$X$3,N$2,معالجة!$B$4:$X$4),""))</f>
        <v/>
      </c>
      <c r="O137" s="51" t="str">
        <f>IF(OR(O$2="",COUNT(الرصد!$C137:$Y137)=0),"",IFERROR(SUMIF(معالجة!$B$3:$X$3,O$2,الرصد!$C137:$Y137)/SUMIF(معالجة!$B$3:$X$3,O$2,معالجة!$B$4:$X$4),""))</f>
        <v/>
      </c>
      <c r="P137" s="51" t="str">
        <f>IF(OR(P$2="",COUNT(الرصد!$C137:$Y137)=0),"",IFERROR(SUMIF(معالجة!$B$3:$X$3,P$2,الرصد!$C137:$Y137)/SUMIF(معالجة!$B$3:$X$3,P$2,معالجة!$B$4:$X$4),""))</f>
        <v/>
      </c>
      <c r="Q137" s="51" t="str">
        <f>IF(OR(Q$2="",COUNT(الرصد!$C137:$Y137)=0),"",IFERROR(SUMIF(معالجة!$B$3:$X$3,Q$2,الرصد!$C137:$Y137)/SUMIF(معالجة!$B$3:$X$3,Q$2,معالجة!$B$4:$X$4),""))</f>
        <v/>
      </c>
      <c r="R137" s="51" t="str">
        <f>IF(OR(R$2="",COUNT(الرصد!$C137:$Y137)=0),"",IFERROR(SUMIF(معالجة!$B$3:$X$3,R$2,الرصد!$C137:$Y137)/SUMIF(معالجة!$B$3:$X$3,R$2,معالجة!$B$4:$X$4),""))</f>
        <v/>
      </c>
      <c r="S137" s="51" t="str">
        <f>IF(OR(S$2="",COUNT(الرصد!$C137:$Y137)=0),"",IFERROR(SUMIF(معالجة!$B$3:$X$3,S$2,الرصد!$C137:$Y137)/SUMIF(معالجة!$B$3:$X$3,S$2,معالجة!$B$4:$X$4),""))</f>
        <v/>
      </c>
      <c r="T137" s="51" t="str">
        <f>IF(OR(T$2="",COUNT(الرصد!$C137:$Y137)=0),"",IFERROR(SUMIF(معالجة!$B$3:$X$3,T$2,الرصد!$C137:$Y137)/SUMIF(معالجة!$B$3:$X$3,T$2,معالجة!$B$4:$X$4),""))</f>
        <v/>
      </c>
      <c r="U137" s="51" t="str">
        <f>IF(OR(U$2="",COUNT(الرصد!$C137:$Y137)=0),"",IFERROR(SUMIF(معالجة!$B$3:$X$3,U$2,الرصد!$C137:$Y137)/SUMIF(معالجة!$B$3:$X$3,U$2,معالجة!$B$4:$X$4),""))</f>
        <v/>
      </c>
      <c r="V137" s="51" t="str">
        <f>IF(OR(V$2="",COUNT(الرصد!$C137:$Y137)=0),"",IFERROR(SUMIF(معالجة!$B$3:$X$3,V$2,الرصد!$C137:$Y137)/SUMIF(معالجة!$B$3:$X$3,V$2,معالجة!$B$4:$X$4),""))</f>
        <v/>
      </c>
      <c r="W137" s="51" t="str">
        <f>IFERROR(C137/المهارات!$G$27,"")</f>
        <v/>
      </c>
    </row>
    <row r="138" spans="1:23" ht="14.25" customHeight="1">
      <c r="A138" s="46" t="s">
        <v>207</v>
      </c>
      <c r="B138" s="46" t="s">
        <v>23</v>
      </c>
      <c r="C138" s="52" t="str">
        <f>IF(COUNT(الرصد!C138:Y138)=0,"",SUM(الرصد!C138:Y138))</f>
        <v/>
      </c>
      <c r="D138" s="51" t="str">
        <f>IF(OR(D$2="",COUNT(الرصد!$C138:$Y138)=0),"",IFERROR(SUMIF(معالجة!$B$3:$X$3,D$2,الرصد!$C138:$Y138)/SUMIF(معالجة!$B$3:$X$3,D$2,معالجة!$B$4:$X$4),""))</f>
        <v/>
      </c>
      <c r="E138" s="51" t="str">
        <f>IF(OR(E$2="",COUNT(الرصد!$C138:$Y138)=0),"",IFERROR(SUMIF(معالجة!$B$3:$X$3,E$2,الرصد!$C138:$Y138)/SUMIF(معالجة!$B$3:$X$3,E$2,معالجة!$B$4:$X$4),""))</f>
        <v/>
      </c>
      <c r="F138" s="51" t="str">
        <f>IF(OR(F$2="",COUNT(الرصد!$C138:$Y138)=0),"",IFERROR(SUMIF(معالجة!$B$3:$X$3,F$2,الرصد!$C138:$Y138)/SUMIF(معالجة!$B$3:$X$3,F$2,معالجة!$B$4:$X$4),""))</f>
        <v/>
      </c>
      <c r="G138" s="51" t="str">
        <f>IF(OR(G$2="",COUNT(الرصد!$C138:$Y138)=0),"",IFERROR(SUMIF(معالجة!$B$3:$X$3,G$2,الرصد!$C138:$Y138)/SUMIF(معالجة!$B$3:$X$3,G$2,معالجة!$B$4:$X$4),""))</f>
        <v/>
      </c>
      <c r="H138" s="51" t="str">
        <f>IF(OR(H$2="",COUNT(الرصد!$C138:$Y138)=0),"",IFERROR(SUMIF(معالجة!$B$3:$X$3,H$2,الرصد!$C138:$Y138)/SUMIF(معالجة!$B$3:$X$3,H$2,معالجة!$B$4:$X$4),""))</f>
        <v/>
      </c>
      <c r="I138" s="51" t="str">
        <f>IF(OR(I$2="",COUNT(الرصد!$C138:$Y138)=0),"",IFERROR(SUMIF(معالجة!$B$3:$X$3,I$2,الرصد!$C138:$Y138)/SUMIF(معالجة!$B$3:$X$3,I$2,معالجة!$B$4:$X$4),""))</f>
        <v/>
      </c>
      <c r="J138" s="51" t="str">
        <f>IF(OR(J$2="",COUNT(الرصد!$C138:$Y138)=0),"",IFERROR(SUMIF(معالجة!$B$3:$X$3,J$2,الرصد!$C138:$Y138)/SUMIF(معالجة!$B$3:$X$3,J$2,معالجة!$B$4:$X$4),""))</f>
        <v/>
      </c>
      <c r="K138" s="51" t="str">
        <f>IF(OR(K$2="",COUNT(الرصد!$C138:$Y138)=0),"",IFERROR(SUMIF(معالجة!$B$3:$X$3,K$2,الرصد!$C138:$Y138)/SUMIF(معالجة!$B$3:$X$3,K$2,معالجة!$B$4:$X$4),""))</f>
        <v/>
      </c>
      <c r="L138" s="51" t="str">
        <f>IF(OR(L$2="",COUNT(الرصد!$C138:$Y138)=0),"",IFERROR(SUMIF(معالجة!$B$3:$X$3,L$2,الرصد!$C138:$Y138)/SUMIF(معالجة!$B$3:$X$3,L$2,معالجة!$B$4:$X$4),""))</f>
        <v/>
      </c>
      <c r="M138" s="51" t="str">
        <f>IF(OR(M$2="",COUNT(الرصد!$C138:$Y138)=0),"",IFERROR(SUMIF(معالجة!$B$3:$X$3,M$2,الرصد!$C138:$Y138)/SUMIF(معالجة!$B$3:$X$3,M$2,معالجة!$B$4:$X$4),""))</f>
        <v/>
      </c>
      <c r="N138" s="51" t="str">
        <f>IF(OR(N$2="",COUNT(الرصد!$C138:$Y138)=0),"",IFERROR(SUMIF(معالجة!$B$3:$X$3,N$2,الرصد!$C138:$Y138)/SUMIF(معالجة!$B$3:$X$3,N$2,معالجة!$B$4:$X$4),""))</f>
        <v/>
      </c>
      <c r="O138" s="51" t="str">
        <f>IF(OR(O$2="",COUNT(الرصد!$C138:$Y138)=0),"",IFERROR(SUMIF(معالجة!$B$3:$X$3,O$2,الرصد!$C138:$Y138)/SUMIF(معالجة!$B$3:$X$3,O$2,معالجة!$B$4:$X$4),""))</f>
        <v/>
      </c>
      <c r="P138" s="51" t="str">
        <f>IF(OR(P$2="",COUNT(الرصد!$C138:$Y138)=0),"",IFERROR(SUMIF(معالجة!$B$3:$X$3,P$2,الرصد!$C138:$Y138)/SUMIF(معالجة!$B$3:$X$3,P$2,معالجة!$B$4:$X$4),""))</f>
        <v/>
      </c>
      <c r="Q138" s="51" t="str">
        <f>IF(OR(Q$2="",COUNT(الرصد!$C138:$Y138)=0),"",IFERROR(SUMIF(معالجة!$B$3:$X$3,Q$2,الرصد!$C138:$Y138)/SUMIF(معالجة!$B$3:$X$3,Q$2,معالجة!$B$4:$X$4),""))</f>
        <v/>
      </c>
      <c r="R138" s="51" t="str">
        <f>IF(OR(R$2="",COUNT(الرصد!$C138:$Y138)=0),"",IFERROR(SUMIF(معالجة!$B$3:$X$3,R$2,الرصد!$C138:$Y138)/SUMIF(معالجة!$B$3:$X$3,R$2,معالجة!$B$4:$X$4),""))</f>
        <v/>
      </c>
      <c r="S138" s="51" t="str">
        <f>IF(OR(S$2="",COUNT(الرصد!$C138:$Y138)=0),"",IFERROR(SUMIF(معالجة!$B$3:$X$3,S$2,الرصد!$C138:$Y138)/SUMIF(معالجة!$B$3:$X$3,S$2,معالجة!$B$4:$X$4),""))</f>
        <v/>
      </c>
      <c r="T138" s="51" t="str">
        <f>IF(OR(T$2="",COUNT(الرصد!$C138:$Y138)=0),"",IFERROR(SUMIF(معالجة!$B$3:$X$3,T$2,الرصد!$C138:$Y138)/SUMIF(معالجة!$B$3:$X$3,T$2,معالجة!$B$4:$X$4),""))</f>
        <v/>
      </c>
      <c r="U138" s="51" t="str">
        <f>IF(OR(U$2="",COUNT(الرصد!$C138:$Y138)=0),"",IFERROR(SUMIF(معالجة!$B$3:$X$3,U$2,الرصد!$C138:$Y138)/SUMIF(معالجة!$B$3:$X$3,U$2,معالجة!$B$4:$X$4),""))</f>
        <v/>
      </c>
      <c r="V138" s="51" t="str">
        <f>IF(OR(V$2="",COUNT(الرصد!$C138:$Y138)=0),"",IFERROR(SUMIF(معالجة!$B$3:$X$3,V$2,الرصد!$C138:$Y138)/SUMIF(معالجة!$B$3:$X$3,V$2,معالجة!$B$4:$X$4),""))</f>
        <v/>
      </c>
      <c r="W138" s="51" t="str">
        <f>IFERROR(C138/المهارات!$G$27,"")</f>
        <v/>
      </c>
    </row>
    <row r="139" spans="1:23" ht="14.25" customHeight="1">
      <c r="A139" s="42" t="s">
        <v>208</v>
      </c>
      <c r="B139" s="42" t="s">
        <v>23</v>
      </c>
      <c r="C139" s="50" t="str">
        <f>IF(COUNT(الرصد!C139:Y139)=0,"",SUM(الرصد!C139:Y139))</f>
        <v/>
      </c>
      <c r="D139" s="51" t="str">
        <f>IF(OR(D$2="",COUNT(الرصد!$C139:$Y139)=0),"",IFERROR(SUMIF(معالجة!$B$3:$X$3,D$2,الرصد!$C139:$Y139)/SUMIF(معالجة!$B$3:$X$3,D$2,معالجة!$B$4:$X$4),""))</f>
        <v/>
      </c>
      <c r="E139" s="51" t="str">
        <f>IF(OR(E$2="",COUNT(الرصد!$C139:$Y139)=0),"",IFERROR(SUMIF(معالجة!$B$3:$X$3,E$2,الرصد!$C139:$Y139)/SUMIF(معالجة!$B$3:$X$3,E$2,معالجة!$B$4:$X$4),""))</f>
        <v/>
      </c>
      <c r="F139" s="51" t="str">
        <f>IF(OR(F$2="",COUNT(الرصد!$C139:$Y139)=0),"",IFERROR(SUMIF(معالجة!$B$3:$X$3,F$2,الرصد!$C139:$Y139)/SUMIF(معالجة!$B$3:$X$3,F$2,معالجة!$B$4:$X$4),""))</f>
        <v/>
      </c>
      <c r="G139" s="51" t="str">
        <f>IF(OR(G$2="",COUNT(الرصد!$C139:$Y139)=0),"",IFERROR(SUMIF(معالجة!$B$3:$X$3,G$2,الرصد!$C139:$Y139)/SUMIF(معالجة!$B$3:$X$3,G$2,معالجة!$B$4:$X$4),""))</f>
        <v/>
      </c>
      <c r="H139" s="51" t="str">
        <f>IF(OR(H$2="",COUNT(الرصد!$C139:$Y139)=0),"",IFERROR(SUMIF(معالجة!$B$3:$X$3,H$2,الرصد!$C139:$Y139)/SUMIF(معالجة!$B$3:$X$3,H$2,معالجة!$B$4:$X$4),""))</f>
        <v/>
      </c>
      <c r="I139" s="51" t="str">
        <f>IF(OR(I$2="",COUNT(الرصد!$C139:$Y139)=0),"",IFERROR(SUMIF(معالجة!$B$3:$X$3,I$2,الرصد!$C139:$Y139)/SUMIF(معالجة!$B$3:$X$3,I$2,معالجة!$B$4:$X$4),""))</f>
        <v/>
      </c>
      <c r="J139" s="51" t="str">
        <f>IF(OR(J$2="",COUNT(الرصد!$C139:$Y139)=0),"",IFERROR(SUMIF(معالجة!$B$3:$X$3,J$2,الرصد!$C139:$Y139)/SUMIF(معالجة!$B$3:$X$3,J$2,معالجة!$B$4:$X$4),""))</f>
        <v/>
      </c>
      <c r="K139" s="51" t="str">
        <f>IF(OR(K$2="",COUNT(الرصد!$C139:$Y139)=0),"",IFERROR(SUMIF(معالجة!$B$3:$X$3,K$2,الرصد!$C139:$Y139)/SUMIF(معالجة!$B$3:$X$3,K$2,معالجة!$B$4:$X$4),""))</f>
        <v/>
      </c>
      <c r="L139" s="51" t="str">
        <f>IF(OR(L$2="",COUNT(الرصد!$C139:$Y139)=0),"",IFERROR(SUMIF(معالجة!$B$3:$X$3,L$2,الرصد!$C139:$Y139)/SUMIF(معالجة!$B$3:$X$3,L$2,معالجة!$B$4:$X$4),""))</f>
        <v/>
      </c>
      <c r="M139" s="51" t="str">
        <f>IF(OR(M$2="",COUNT(الرصد!$C139:$Y139)=0),"",IFERROR(SUMIF(معالجة!$B$3:$X$3,M$2,الرصد!$C139:$Y139)/SUMIF(معالجة!$B$3:$X$3,M$2,معالجة!$B$4:$X$4),""))</f>
        <v/>
      </c>
      <c r="N139" s="51" t="str">
        <f>IF(OR(N$2="",COUNT(الرصد!$C139:$Y139)=0),"",IFERROR(SUMIF(معالجة!$B$3:$X$3,N$2,الرصد!$C139:$Y139)/SUMIF(معالجة!$B$3:$X$3,N$2,معالجة!$B$4:$X$4),""))</f>
        <v/>
      </c>
      <c r="O139" s="51" t="str">
        <f>IF(OR(O$2="",COUNT(الرصد!$C139:$Y139)=0),"",IFERROR(SUMIF(معالجة!$B$3:$X$3,O$2,الرصد!$C139:$Y139)/SUMIF(معالجة!$B$3:$X$3,O$2,معالجة!$B$4:$X$4),""))</f>
        <v/>
      </c>
      <c r="P139" s="51" t="str">
        <f>IF(OR(P$2="",COUNT(الرصد!$C139:$Y139)=0),"",IFERROR(SUMIF(معالجة!$B$3:$X$3,P$2,الرصد!$C139:$Y139)/SUMIF(معالجة!$B$3:$X$3,P$2,معالجة!$B$4:$X$4),""))</f>
        <v/>
      </c>
      <c r="Q139" s="51" t="str">
        <f>IF(OR(Q$2="",COUNT(الرصد!$C139:$Y139)=0),"",IFERROR(SUMIF(معالجة!$B$3:$X$3,Q$2,الرصد!$C139:$Y139)/SUMIF(معالجة!$B$3:$X$3,Q$2,معالجة!$B$4:$X$4),""))</f>
        <v/>
      </c>
      <c r="R139" s="51" t="str">
        <f>IF(OR(R$2="",COUNT(الرصد!$C139:$Y139)=0),"",IFERROR(SUMIF(معالجة!$B$3:$X$3,R$2,الرصد!$C139:$Y139)/SUMIF(معالجة!$B$3:$X$3,R$2,معالجة!$B$4:$X$4),""))</f>
        <v/>
      </c>
      <c r="S139" s="51" t="str">
        <f>IF(OR(S$2="",COUNT(الرصد!$C139:$Y139)=0),"",IFERROR(SUMIF(معالجة!$B$3:$X$3,S$2,الرصد!$C139:$Y139)/SUMIF(معالجة!$B$3:$X$3,S$2,معالجة!$B$4:$X$4),""))</f>
        <v/>
      </c>
      <c r="T139" s="51" t="str">
        <f>IF(OR(T$2="",COUNT(الرصد!$C139:$Y139)=0),"",IFERROR(SUMIF(معالجة!$B$3:$X$3,T$2,الرصد!$C139:$Y139)/SUMIF(معالجة!$B$3:$X$3,T$2,معالجة!$B$4:$X$4),""))</f>
        <v/>
      </c>
      <c r="U139" s="51" t="str">
        <f>IF(OR(U$2="",COUNT(الرصد!$C139:$Y139)=0),"",IFERROR(SUMIF(معالجة!$B$3:$X$3,U$2,الرصد!$C139:$Y139)/SUMIF(معالجة!$B$3:$X$3,U$2,معالجة!$B$4:$X$4),""))</f>
        <v/>
      </c>
      <c r="V139" s="51" t="str">
        <f>IF(OR(V$2="",COUNT(الرصد!$C139:$Y139)=0),"",IFERROR(SUMIF(معالجة!$B$3:$X$3,V$2,الرصد!$C139:$Y139)/SUMIF(معالجة!$B$3:$X$3,V$2,معالجة!$B$4:$X$4),""))</f>
        <v/>
      </c>
      <c r="W139" s="51" t="str">
        <f>IFERROR(C139/المهارات!$G$27,"")</f>
        <v/>
      </c>
    </row>
    <row r="140" spans="1:23" ht="14.25" customHeight="1">
      <c r="A140" s="46" t="s">
        <v>209</v>
      </c>
      <c r="B140" s="46" t="s">
        <v>23</v>
      </c>
      <c r="C140" s="52" t="str">
        <f>IF(COUNT(الرصد!C140:Y140)=0,"",SUM(الرصد!C140:Y140))</f>
        <v/>
      </c>
      <c r="D140" s="51" t="str">
        <f>IF(OR(D$2="",COUNT(الرصد!$C140:$Y140)=0),"",IFERROR(SUMIF(معالجة!$B$3:$X$3,D$2,الرصد!$C140:$Y140)/SUMIF(معالجة!$B$3:$X$3,D$2,معالجة!$B$4:$X$4),""))</f>
        <v/>
      </c>
      <c r="E140" s="51" t="str">
        <f>IF(OR(E$2="",COUNT(الرصد!$C140:$Y140)=0),"",IFERROR(SUMIF(معالجة!$B$3:$X$3,E$2,الرصد!$C140:$Y140)/SUMIF(معالجة!$B$3:$X$3,E$2,معالجة!$B$4:$X$4),""))</f>
        <v/>
      </c>
      <c r="F140" s="51" t="str">
        <f>IF(OR(F$2="",COUNT(الرصد!$C140:$Y140)=0),"",IFERROR(SUMIF(معالجة!$B$3:$X$3,F$2,الرصد!$C140:$Y140)/SUMIF(معالجة!$B$3:$X$3,F$2,معالجة!$B$4:$X$4),""))</f>
        <v/>
      </c>
      <c r="G140" s="51" t="str">
        <f>IF(OR(G$2="",COUNT(الرصد!$C140:$Y140)=0),"",IFERROR(SUMIF(معالجة!$B$3:$X$3,G$2,الرصد!$C140:$Y140)/SUMIF(معالجة!$B$3:$X$3,G$2,معالجة!$B$4:$X$4),""))</f>
        <v/>
      </c>
      <c r="H140" s="51" t="str">
        <f>IF(OR(H$2="",COUNT(الرصد!$C140:$Y140)=0),"",IFERROR(SUMIF(معالجة!$B$3:$X$3,H$2,الرصد!$C140:$Y140)/SUMIF(معالجة!$B$3:$X$3,H$2,معالجة!$B$4:$X$4),""))</f>
        <v/>
      </c>
      <c r="I140" s="51" t="str">
        <f>IF(OR(I$2="",COUNT(الرصد!$C140:$Y140)=0),"",IFERROR(SUMIF(معالجة!$B$3:$X$3,I$2,الرصد!$C140:$Y140)/SUMIF(معالجة!$B$3:$X$3,I$2,معالجة!$B$4:$X$4),""))</f>
        <v/>
      </c>
      <c r="J140" s="51" t="str">
        <f>IF(OR(J$2="",COUNT(الرصد!$C140:$Y140)=0),"",IFERROR(SUMIF(معالجة!$B$3:$X$3,J$2,الرصد!$C140:$Y140)/SUMIF(معالجة!$B$3:$X$3,J$2,معالجة!$B$4:$X$4),""))</f>
        <v/>
      </c>
      <c r="K140" s="51" t="str">
        <f>IF(OR(K$2="",COUNT(الرصد!$C140:$Y140)=0),"",IFERROR(SUMIF(معالجة!$B$3:$X$3,K$2,الرصد!$C140:$Y140)/SUMIF(معالجة!$B$3:$X$3,K$2,معالجة!$B$4:$X$4),""))</f>
        <v/>
      </c>
      <c r="L140" s="51" t="str">
        <f>IF(OR(L$2="",COUNT(الرصد!$C140:$Y140)=0),"",IFERROR(SUMIF(معالجة!$B$3:$X$3,L$2,الرصد!$C140:$Y140)/SUMIF(معالجة!$B$3:$X$3,L$2,معالجة!$B$4:$X$4),""))</f>
        <v/>
      </c>
      <c r="M140" s="51" t="str">
        <f>IF(OR(M$2="",COUNT(الرصد!$C140:$Y140)=0),"",IFERROR(SUMIF(معالجة!$B$3:$X$3,M$2,الرصد!$C140:$Y140)/SUMIF(معالجة!$B$3:$X$3,M$2,معالجة!$B$4:$X$4),""))</f>
        <v/>
      </c>
      <c r="N140" s="51" t="str">
        <f>IF(OR(N$2="",COUNT(الرصد!$C140:$Y140)=0),"",IFERROR(SUMIF(معالجة!$B$3:$X$3,N$2,الرصد!$C140:$Y140)/SUMIF(معالجة!$B$3:$X$3,N$2,معالجة!$B$4:$X$4),""))</f>
        <v/>
      </c>
      <c r="O140" s="51" t="str">
        <f>IF(OR(O$2="",COUNT(الرصد!$C140:$Y140)=0),"",IFERROR(SUMIF(معالجة!$B$3:$X$3,O$2,الرصد!$C140:$Y140)/SUMIF(معالجة!$B$3:$X$3,O$2,معالجة!$B$4:$X$4),""))</f>
        <v/>
      </c>
      <c r="P140" s="51" t="str">
        <f>IF(OR(P$2="",COUNT(الرصد!$C140:$Y140)=0),"",IFERROR(SUMIF(معالجة!$B$3:$X$3,P$2,الرصد!$C140:$Y140)/SUMIF(معالجة!$B$3:$X$3,P$2,معالجة!$B$4:$X$4),""))</f>
        <v/>
      </c>
      <c r="Q140" s="51" t="str">
        <f>IF(OR(Q$2="",COUNT(الرصد!$C140:$Y140)=0),"",IFERROR(SUMIF(معالجة!$B$3:$X$3,Q$2,الرصد!$C140:$Y140)/SUMIF(معالجة!$B$3:$X$3,Q$2,معالجة!$B$4:$X$4),""))</f>
        <v/>
      </c>
      <c r="R140" s="51" t="str">
        <f>IF(OR(R$2="",COUNT(الرصد!$C140:$Y140)=0),"",IFERROR(SUMIF(معالجة!$B$3:$X$3,R$2,الرصد!$C140:$Y140)/SUMIF(معالجة!$B$3:$X$3,R$2,معالجة!$B$4:$X$4),""))</f>
        <v/>
      </c>
      <c r="S140" s="51" t="str">
        <f>IF(OR(S$2="",COUNT(الرصد!$C140:$Y140)=0),"",IFERROR(SUMIF(معالجة!$B$3:$X$3,S$2,الرصد!$C140:$Y140)/SUMIF(معالجة!$B$3:$X$3,S$2,معالجة!$B$4:$X$4),""))</f>
        <v/>
      </c>
      <c r="T140" s="51" t="str">
        <f>IF(OR(T$2="",COUNT(الرصد!$C140:$Y140)=0),"",IFERROR(SUMIF(معالجة!$B$3:$X$3,T$2,الرصد!$C140:$Y140)/SUMIF(معالجة!$B$3:$X$3,T$2,معالجة!$B$4:$X$4),""))</f>
        <v/>
      </c>
      <c r="U140" s="51" t="str">
        <f>IF(OR(U$2="",COUNT(الرصد!$C140:$Y140)=0),"",IFERROR(SUMIF(معالجة!$B$3:$X$3,U$2,الرصد!$C140:$Y140)/SUMIF(معالجة!$B$3:$X$3,U$2,معالجة!$B$4:$X$4),""))</f>
        <v/>
      </c>
      <c r="V140" s="51" t="str">
        <f>IF(OR(V$2="",COUNT(الرصد!$C140:$Y140)=0),"",IFERROR(SUMIF(معالجة!$B$3:$X$3,V$2,الرصد!$C140:$Y140)/SUMIF(معالجة!$B$3:$X$3,V$2,معالجة!$B$4:$X$4),""))</f>
        <v/>
      </c>
      <c r="W140" s="51" t="str">
        <f>IFERROR(C140/المهارات!$G$27,"")</f>
        <v/>
      </c>
    </row>
    <row r="141" spans="1:23" ht="14.25" customHeight="1">
      <c r="A141" s="42" t="s">
        <v>210</v>
      </c>
      <c r="B141" s="42" t="s">
        <v>23</v>
      </c>
      <c r="C141" s="50" t="str">
        <f>IF(COUNT(الرصد!C141:Y141)=0,"",SUM(الرصد!C141:Y141))</f>
        <v/>
      </c>
      <c r="D141" s="51" t="str">
        <f>IF(OR(D$2="",COUNT(الرصد!$C141:$Y141)=0),"",IFERROR(SUMIF(معالجة!$B$3:$X$3,D$2,الرصد!$C141:$Y141)/SUMIF(معالجة!$B$3:$X$3,D$2,معالجة!$B$4:$X$4),""))</f>
        <v/>
      </c>
      <c r="E141" s="51" t="str">
        <f>IF(OR(E$2="",COUNT(الرصد!$C141:$Y141)=0),"",IFERROR(SUMIF(معالجة!$B$3:$X$3,E$2,الرصد!$C141:$Y141)/SUMIF(معالجة!$B$3:$X$3,E$2,معالجة!$B$4:$X$4),""))</f>
        <v/>
      </c>
      <c r="F141" s="51" t="str">
        <f>IF(OR(F$2="",COUNT(الرصد!$C141:$Y141)=0),"",IFERROR(SUMIF(معالجة!$B$3:$X$3,F$2,الرصد!$C141:$Y141)/SUMIF(معالجة!$B$3:$X$3,F$2,معالجة!$B$4:$X$4),""))</f>
        <v/>
      </c>
      <c r="G141" s="51" t="str">
        <f>IF(OR(G$2="",COUNT(الرصد!$C141:$Y141)=0),"",IFERROR(SUMIF(معالجة!$B$3:$X$3,G$2,الرصد!$C141:$Y141)/SUMIF(معالجة!$B$3:$X$3,G$2,معالجة!$B$4:$X$4),""))</f>
        <v/>
      </c>
      <c r="H141" s="51" t="str">
        <f>IF(OR(H$2="",COUNT(الرصد!$C141:$Y141)=0),"",IFERROR(SUMIF(معالجة!$B$3:$X$3,H$2,الرصد!$C141:$Y141)/SUMIF(معالجة!$B$3:$X$3,H$2,معالجة!$B$4:$X$4),""))</f>
        <v/>
      </c>
      <c r="I141" s="51" t="str">
        <f>IF(OR(I$2="",COUNT(الرصد!$C141:$Y141)=0),"",IFERROR(SUMIF(معالجة!$B$3:$X$3,I$2,الرصد!$C141:$Y141)/SUMIF(معالجة!$B$3:$X$3,I$2,معالجة!$B$4:$X$4),""))</f>
        <v/>
      </c>
      <c r="J141" s="51" t="str">
        <f>IF(OR(J$2="",COUNT(الرصد!$C141:$Y141)=0),"",IFERROR(SUMIF(معالجة!$B$3:$X$3,J$2,الرصد!$C141:$Y141)/SUMIF(معالجة!$B$3:$X$3,J$2,معالجة!$B$4:$X$4),""))</f>
        <v/>
      </c>
      <c r="K141" s="51" t="str">
        <f>IF(OR(K$2="",COUNT(الرصد!$C141:$Y141)=0),"",IFERROR(SUMIF(معالجة!$B$3:$X$3,K$2,الرصد!$C141:$Y141)/SUMIF(معالجة!$B$3:$X$3,K$2,معالجة!$B$4:$X$4),""))</f>
        <v/>
      </c>
      <c r="L141" s="51" t="str">
        <f>IF(OR(L$2="",COUNT(الرصد!$C141:$Y141)=0),"",IFERROR(SUMIF(معالجة!$B$3:$X$3,L$2,الرصد!$C141:$Y141)/SUMIF(معالجة!$B$3:$X$3,L$2,معالجة!$B$4:$X$4),""))</f>
        <v/>
      </c>
      <c r="M141" s="51" t="str">
        <f>IF(OR(M$2="",COUNT(الرصد!$C141:$Y141)=0),"",IFERROR(SUMIF(معالجة!$B$3:$X$3,M$2,الرصد!$C141:$Y141)/SUMIF(معالجة!$B$3:$X$3,M$2,معالجة!$B$4:$X$4),""))</f>
        <v/>
      </c>
      <c r="N141" s="51" t="str">
        <f>IF(OR(N$2="",COUNT(الرصد!$C141:$Y141)=0),"",IFERROR(SUMIF(معالجة!$B$3:$X$3,N$2,الرصد!$C141:$Y141)/SUMIF(معالجة!$B$3:$X$3,N$2,معالجة!$B$4:$X$4),""))</f>
        <v/>
      </c>
      <c r="O141" s="51" t="str">
        <f>IF(OR(O$2="",COUNT(الرصد!$C141:$Y141)=0),"",IFERROR(SUMIF(معالجة!$B$3:$X$3,O$2,الرصد!$C141:$Y141)/SUMIF(معالجة!$B$3:$X$3,O$2,معالجة!$B$4:$X$4),""))</f>
        <v/>
      </c>
      <c r="P141" s="51" t="str">
        <f>IF(OR(P$2="",COUNT(الرصد!$C141:$Y141)=0),"",IFERROR(SUMIF(معالجة!$B$3:$X$3,P$2,الرصد!$C141:$Y141)/SUMIF(معالجة!$B$3:$X$3,P$2,معالجة!$B$4:$X$4),""))</f>
        <v/>
      </c>
      <c r="Q141" s="51" t="str">
        <f>IF(OR(Q$2="",COUNT(الرصد!$C141:$Y141)=0),"",IFERROR(SUMIF(معالجة!$B$3:$X$3,Q$2,الرصد!$C141:$Y141)/SUMIF(معالجة!$B$3:$X$3,Q$2,معالجة!$B$4:$X$4),""))</f>
        <v/>
      </c>
      <c r="R141" s="51" t="str">
        <f>IF(OR(R$2="",COUNT(الرصد!$C141:$Y141)=0),"",IFERROR(SUMIF(معالجة!$B$3:$X$3,R$2,الرصد!$C141:$Y141)/SUMIF(معالجة!$B$3:$X$3,R$2,معالجة!$B$4:$X$4),""))</f>
        <v/>
      </c>
      <c r="S141" s="51" t="str">
        <f>IF(OR(S$2="",COUNT(الرصد!$C141:$Y141)=0),"",IFERROR(SUMIF(معالجة!$B$3:$X$3,S$2,الرصد!$C141:$Y141)/SUMIF(معالجة!$B$3:$X$3,S$2,معالجة!$B$4:$X$4),""))</f>
        <v/>
      </c>
      <c r="T141" s="51" t="str">
        <f>IF(OR(T$2="",COUNT(الرصد!$C141:$Y141)=0),"",IFERROR(SUMIF(معالجة!$B$3:$X$3,T$2,الرصد!$C141:$Y141)/SUMIF(معالجة!$B$3:$X$3,T$2,معالجة!$B$4:$X$4),""))</f>
        <v/>
      </c>
      <c r="U141" s="51" t="str">
        <f>IF(OR(U$2="",COUNT(الرصد!$C141:$Y141)=0),"",IFERROR(SUMIF(معالجة!$B$3:$X$3,U$2,الرصد!$C141:$Y141)/SUMIF(معالجة!$B$3:$X$3,U$2,معالجة!$B$4:$X$4),""))</f>
        <v/>
      </c>
      <c r="V141" s="51" t="str">
        <f>IF(OR(V$2="",COUNT(الرصد!$C141:$Y141)=0),"",IFERROR(SUMIF(معالجة!$B$3:$X$3,V$2,الرصد!$C141:$Y141)/SUMIF(معالجة!$B$3:$X$3,V$2,معالجة!$B$4:$X$4),""))</f>
        <v/>
      </c>
      <c r="W141" s="51" t="str">
        <f>IFERROR(C141/المهارات!$G$27,"")</f>
        <v/>
      </c>
    </row>
    <row r="142" spans="1:23" ht="14.25" customHeight="1">
      <c r="A142" s="46" t="s">
        <v>211</v>
      </c>
      <c r="B142" s="46" t="s">
        <v>23</v>
      </c>
      <c r="C142" s="52" t="str">
        <f>IF(COUNT(الرصد!C142:Y142)=0,"",SUM(الرصد!C142:Y142))</f>
        <v/>
      </c>
      <c r="D142" s="51" t="str">
        <f>IF(OR(D$2="",COUNT(الرصد!$C142:$Y142)=0),"",IFERROR(SUMIF(معالجة!$B$3:$X$3,D$2,الرصد!$C142:$Y142)/SUMIF(معالجة!$B$3:$X$3,D$2,معالجة!$B$4:$X$4),""))</f>
        <v/>
      </c>
      <c r="E142" s="51" t="str">
        <f>IF(OR(E$2="",COUNT(الرصد!$C142:$Y142)=0),"",IFERROR(SUMIF(معالجة!$B$3:$X$3,E$2,الرصد!$C142:$Y142)/SUMIF(معالجة!$B$3:$X$3,E$2,معالجة!$B$4:$X$4),""))</f>
        <v/>
      </c>
      <c r="F142" s="51" t="str">
        <f>IF(OR(F$2="",COUNT(الرصد!$C142:$Y142)=0),"",IFERROR(SUMIF(معالجة!$B$3:$X$3,F$2,الرصد!$C142:$Y142)/SUMIF(معالجة!$B$3:$X$3,F$2,معالجة!$B$4:$X$4),""))</f>
        <v/>
      </c>
      <c r="G142" s="51" t="str">
        <f>IF(OR(G$2="",COUNT(الرصد!$C142:$Y142)=0),"",IFERROR(SUMIF(معالجة!$B$3:$X$3,G$2,الرصد!$C142:$Y142)/SUMIF(معالجة!$B$3:$X$3,G$2,معالجة!$B$4:$X$4),""))</f>
        <v/>
      </c>
      <c r="H142" s="51" t="str">
        <f>IF(OR(H$2="",COUNT(الرصد!$C142:$Y142)=0),"",IFERROR(SUMIF(معالجة!$B$3:$X$3,H$2,الرصد!$C142:$Y142)/SUMIF(معالجة!$B$3:$X$3,H$2,معالجة!$B$4:$X$4),""))</f>
        <v/>
      </c>
      <c r="I142" s="51" t="str">
        <f>IF(OR(I$2="",COUNT(الرصد!$C142:$Y142)=0),"",IFERROR(SUMIF(معالجة!$B$3:$X$3,I$2,الرصد!$C142:$Y142)/SUMIF(معالجة!$B$3:$X$3,I$2,معالجة!$B$4:$X$4),""))</f>
        <v/>
      </c>
      <c r="J142" s="51" t="str">
        <f>IF(OR(J$2="",COUNT(الرصد!$C142:$Y142)=0),"",IFERROR(SUMIF(معالجة!$B$3:$X$3,J$2,الرصد!$C142:$Y142)/SUMIF(معالجة!$B$3:$X$3,J$2,معالجة!$B$4:$X$4),""))</f>
        <v/>
      </c>
      <c r="K142" s="51" t="str">
        <f>IF(OR(K$2="",COUNT(الرصد!$C142:$Y142)=0),"",IFERROR(SUMIF(معالجة!$B$3:$X$3,K$2,الرصد!$C142:$Y142)/SUMIF(معالجة!$B$3:$X$3,K$2,معالجة!$B$4:$X$4),""))</f>
        <v/>
      </c>
      <c r="L142" s="51" t="str">
        <f>IF(OR(L$2="",COUNT(الرصد!$C142:$Y142)=0),"",IFERROR(SUMIF(معالجة!$B$3:$X$3,L$2,الرصد!$C142:$Y142)/SUMIF(معالجة!$B$3:$X$3,L$2,معالجة!$B$4:$X$4),""))</f>
        <v/>
      </c>
      <c r="M142" s="51" t="str">
        <f>IF(OR(M$2="",COUNT(الرصد!$C142:$Y142)=0),"",IFERROR(SUMIF(معالجة!$B$3:$X$3,M$2,الرصد!$C142:$Y142)/SUMIF(معالجة!$B$3:$X$3,M$2,معالجة!$B$4:$X$4),""))</f>
        <v/>
      </c>
      <c r="N142" s="51" t="str">
        <f>IF(OR(N$2="",COUNT(الرصد!$C142:$Y142)=0),"",IFERROR(SUMIF(معالجة!$B$3:$X$3,N$2,الرصد!$C142:$Y142)/SUMIF(معالجة!$B$3:$X$3,N$2,معالجة!$B$4:$X$4),""))</f>
        <v/>
      </c>
      <c r="O142" s="51" t="str">
        <f>IF(OR(O$2="",COUNT(الرصد!$C142:$Y142)=0),"",IFERROR(SUMIF(معالجة!$B$3:$X$3,O$2,الرصد!$C142:$Y142)/SUMIF(معالجة!$B$3:$X$3,O$2,معالجة!$B$4:$X$4),""))</f>
        <v/>
      </c>
      <c r="P142" s="51" t="str">
        <f>IF(OR(P$2="",COUNT(الرصد!$C142:$Y142)=0),"",IFERROR(SUMIF(معالجة!$B$3:$X$3,P$2,الرصد!$C142:$Y142)/SUMIF(معالجة!$B$3:$X$3,P$2,معالجة!$B$4:$X$4),""))</f>
        <v/>
      </c>
      <c r="Q142" s="51" t="str">
        <f>IF(OR(Q$2="",COUNT(الرصد!$C142:$Y142)=0),"",IFERROR(SUMIF(معالجة!$B$3:$X$3,Q$2,الرصد!$C142:$Y142)/SUMIF(معالجة!$B$3:$X$3,Q$2,معالجة!$B$4:$X$4),""))</f>
        <v/>
      </c>
      <c r="R142" s="51" t="str">
        <f>IF(OR(R$2="",COUNT(الرصد!$C142:$Y142)=0),"",IFERROR(SUMIF(معالجة!$B$3:$X$3,R$2,الرصد!$C142:$Y142)/SUMIF(معالجة!$B$3:$X$3,R$2,معالجة!$B$4:$X$4),""))</f>
        <v/>
      </c>
      <c r="S142" s="51" t="str">
        <f>IF(OR(S$2="",COUNT(الرصد!$C142:$Y142)=0),"",IFERROR(SUMIF(معالجة!$B$3:$X$3,S$2,الرصد!$C142:$Y142)/SUMIF(معالجة!$B$3:$X$3,S$2,معالجة!$B$4:$X$4),""))</f>
        <v/>
      </c>
      <c r="T142" s="51" t="str">
        <f>IF(OR(T$2="",COUNT(الرصد!$C142:$Y142)=0),"",IFERROR(SUMIF(معالجة!$B$3:$X$3,T$2,الرصد!$C142:$Y142)/SUMIF(معالجة!$B$3:$X$3,T$2,معالجة!$B$4:$X$4),""))</f>
        <v/>
      </c>
      <c r="U142" s="51" t="str">
        <f>IF(OR(U$2="",COUNT(الرصد!$C142:$Y142)=0),"",IFERROR(SUMIF(معالجة!$B$3:$X$3,U$2,الرصد!$C142:$Y142)/SUMIF(معالجة!$B$3:$X$3,U$2,معالجة!$B$4:$X$4),""))</f>
        <v/>
      </c>
      <c r="V142" s="51" t="str">
        <f>IF(OR(V$2="",COUNT(الرصد!$C142:$Y142)=0),"",IFERROR(SUMIF(معالجة!$B$3:$X$3,V$2,الرصد!$C142:$Y142)/SUMIF(معالجة!$B$3:$X$3,V$2,معالجة!$B$4:$X$4),""))</f>
        <v/>
      </c>
      <c r="W142" s="51" t="str">
        <f>IFERROR(C142/المهارات!$G$27,"")</f>
        <v/>
      </c>
    </row>
    <row r="143" spans="1:23" ht="14.25" customHeight="1">
      <c r="A143" s="42" t="s">
        <v>212</v>
      </c>
      <c r="B143" s="42" t="s">
        <v>23</v>
      </c>
      <c r="C143" s="50" t="str">
        <f>IF(COUNT(الرصد!C143:Y143)=0,"",SUM(الرصد!C143:Y143))</f>
        <v/>
      </c>
      <c r="D143" s="51" t="str">
        <f>IF(OR(D$2="",COUNT(الرصد!$C143:$Y143)=0),"",IFERROR(SUMIF(معالجة!$B$3:$X$3,D$2,الرصد!$C143:$Y143)/SUMIF(معالجة!$B$3:$X$3,D$2,معالجة!$B$4:$X$4),""))</f>
        <v/>
      </c>
      <c r="E143" s="51" t="str">
        <f>IF(OR(E$2="",COUNT(الرصد!$C143:$Y143)=0),"",IFERROR(SUMIF(معالجة!$B$3:$X$3,E$2,الرصد!$C143:$Y143)/SUMIF(معالجة!$B$3:$X$3,E$2,معالجة!$B$4:$X$4),""))</f>
        <v/>
      </c>
      <c r="F143" s="51" t="str">
        <f>IF(OR(F$2="",COUNT(الرصد!$C143:$Y143)=0),"",IFERROR(SUMIF(معالجة!$B$3:$X$3,F$2,الرصد!$C143:$Y143)/SUMIF(معالجة!$B$3:$X$3,F$2,معالجة!$B$4:$X$4),""))</f>
        <v/>
      </c>
      <c r="G143" s="51" t="str">
        <f>IF(OR(G$2="",COUNT(الرصد!$C143:$Y143)=0),"",IFERROR(SUMIF(معالجة!$B$3:$X$3,G$2,الرصد!$C143:$Y143)/SUMIF(معالجة!$B$3:$X$3,G$2,معالجة!$B$4:$X$4),""))</f>
        <v/>
      </c>
      <c r="H143" s="51" t="str">
        <f>IF(OR(H$2="",COUNT(الرصد!$C143:$Y143)=0),"",IFERROR(SUMIF(معالجة!$B$3:$X$3,H$2,الرصد!$C143:$Y143)/SUMIF(معالجة!$B$3:$X$3,H$2,معالجة!$B$4:$X$4),""))</f>
        <v/>
      </c>
      <c r="I143" s="51" t="str">
        <f>IF(OR(I$2="",COUNT(الرصد!$C143:$Y143)=0),"",IFERROR(SUMIF(معالجة!$B$3:$X$3,I$2,الرصد!$C143:$Y143)/SUMIF(معالجة!$B$3:$X$3,I$2,معالجة!$B$4:$X$4),""))</f>
        <v/>
      </c>
      <c r="J143" s="51" t="str">
        <f>IF(OR(J$2="",COUNT(الرصد!$C143:$Y143)=0),"",IFERROR(SUMIF(معالجة!$B$3:$X$3,J$2,الرصد!$C143:$Y143)/SUMIF(معالجة!$B$3:$X$3,J$2,معالجة!$B$4:$X$4),""))</f>
        <v/>
      </c>
      <c r="K143" s="51" t="str">
        <f>IF(OR(K$2="",COUNT(الرصد!$C143:$Y143)=0),"",IFERROR(SUMIF(معالجة!$B$3:$X$3,K$2,الرصد!$C143:$Y143)/SUMIF(معالجة!$B$3:$X$3,K$2,معالجة!$B$4:$X$4),""))</f>
        <v/>
      </c>
      <c r="L143" s="51" t="str">
        <f>IF(OR(L$2="",COUNT(الرصد!$C143:$Y143)=0),"",IFERROR(SUMIF(معالجة!$B$3:$X$3,L$2,الرصد!$C143:$Y143)/SUMIF(معالجة!$B$3:$X$3,L$2,معالجة!$B$4:$X$4),""))</f>
        <v/>
      </c>
      <c r="M143" s="51" t="str">
        <f>IF(OR(M$2="",COUNT(الرصد!$C143:$Y143)=0),"",IFERROR(SUMIF(معالجة!$B$3:$X$3,M$2,الرصد!$C143:$Y143)/SUMIF(معالجة!$B$3:$X$3,M$2,معالجة!$B$4:$X$4),""))</f>
        <v/>
      </c>
      <c r="N143" s="51" t="str">
        <f>IF(OR(N$2="",COUNT(الرصد!$C143:$Y143)=0),"",IFERROR(SUMIF(معالجة!$B$3:$X$3,N$2,الرصد!$C143:$Y143)/SUMIF(معالجة!$B$3:$X$3,N$2,معالجة!$B$4:$X$4),""))</f>
        <v/>
      </c>
      <c r="O143" s="51" t="str">
        <f>IF(OR(O$2="",COUNT(الرصد!$C143:$Y143)=0),"",IFERROR(SUMIF(معالجة!$B$3:$X$3,O$2,الرصد!$C143:$Y143)/SUMIF(معالجة!$B$3:$X$3,O$2,معالجة!$B$4:$X$4),""))</f>
        <v/>
      </c>
      <c r="P143" s="51" t="str">
        <f>IF(OR(P$2="",COUNT(الرصد!$C143:$Y143)=0),"",IFERROR(SUMIF(معالجة!$B$3:$X$3,P$2,الرصد!$C143:$Y143)/SUMIF(معالجة!$B$3:$X$3,P$2,معالجة!$B$4:$X$4),""))</f>
        <v/>
      </c>
      <c r="Q143" s="51" t="str">
        <f>IF(OR(Q$2="",COUNT(الرصد!$C143:$Y143)=0),"",IFERROR(SUMIF(معالجة!$B$3:$X$3,Q$2,الرصد!$C143:$Y143)/SUMIF(معالجة!$B$3:$X$3,Q$2,معالجة!$B$4:$X$4),""))</f>
        <v/>
      </c>
      <c r="R143" s="51" t="str">
        <f>IF(OR(R$2="",COUNT(الرصد!$C143:$Y143)=0),"",IFERROR(SUMIF(معالجة!$B$3:$X$3,R$2,الرصد!$C143:$Y143)/SUMIF(معالجة!$B$3:$X$3,R$2,معالجة!$B$4:$X$4),""))</f>
        <v/>
      </c>
      <c r="S143" s="51" t="str">
        <f>IF(OR(S$2="",COUNT(الرصد!$C143:$Y143)=0),"",IFERROR(SUMIF(معالجة!$B$3:$X$3,S$2,الرصد!$C143:$Y143)/SUMIF(معالجة!$B$3:$X$3,S$2,معالجة!$B$4:$X$4),""))</f>
        <v/>
      </c>
      <c r="T143" s="51" t="str">
        <f>IF(OR(T$2="",COUNT(الرصد!$C143:$Y143)=0),"",IFERROR(SUMIF(معالجة!$B$3:$X$3,T$2,الرصد!$C143:$Y143)/SUMIF(معالجة!$B$3:$X$3,T$2,معالجة!$B$4:$X$4),""))</f>
        <v/>
      </c>
      <c r="U143" s="51" t="str">
        <f>IF(OR(U$2="",COUNT(الرصد!$C143:$Y143)=0),"",IFERROR(SUMIF(معالجة!$B$3:$X$3,U$2,الرصد!$C143:$Y143)/SUMIF(معالجة!$B$3:$X$3,U$2,معالجة!$B$4:$X$4),""))</f>
        <v/>
      </c>
      <c r="V143" s="51" t="str">
        <f>IF(OR(V$2="",COUNT(الرصد!$C143:$Y143)=0),"",IFERROR(SUMIF(معالجة!$B$3:$X$3,V$2,الرصد!$C143:$Y143)/SUMIF(معالجة!$B$3:$X$3,V$2,معالجة!$B$4:$X$4),""))</f>
        <v/>
      </c>
      <c r="W143" s="51" t="str">
        <f>IFERROR(C143/المهارات!$G$27,"")</f>
        <v/>
      </c>
    </row>
    <row r="144" spans="1:23" ht="14.25" customHeight="1">
      <c r="A144" s="46" t="s">
        <v>213</v>
      </c>
      <c r="B144" s="46" t="s">
        <v>23</v>
      </c>
      <c r="C144" s="52" t="str">
        <f>IF(COUNT(الرصد!C144:Y144)=0,"",SUM(الرصد!C144:Y144))</f>
        <v/>
      </c>
      <c r="D144" s="51" t="str">
        <f>IF(OR(D$2="",COUNT(الرصد!$C144:$Y144)=0),"",IFERROR(SUMIF(معالجة!$B$3:$X$3,D$2,الرصد!$C144:$Y144)/SUMIF(معالجة!$B$3:$X$3,D$2,معالجة!$B$4:$X$4),""))</f>
        <v/>
      </c>
      <c r="E144" s="51" t="str">
        <f>IF(OR(E$2="",COUNT(الرصد!$C144:$Y144)=0),"",IFERROR(SUMIF(معالجة!$B$3:$X$3,E$2,الرصد!$C144:$Y144)/SUMIF(معالجة!$B$3:$X$3,E$2,معالجة!$B$4:$X$4),""))</f>
        <v/>
      </c>
      <c r="F144" s="51" t="str">
        <f>IF(OR(F$2="",COUNT(الرصد!$C144:$Y144)=0),"",IFERROR(SUMIF(معالجة!$B$3:$X$3,F$2,الرصد!$C144:$Y144)/SUMIF(معالجة!$B$3:$X$3,F$2,معالجة!$B$4:$X$4),""))</f>
        <v/>
      </c>
      <c r="G144" s="51" t="str">
        <f>IF(OR(G$2="",COUNT(الرصد!$C144:$Y144)=0),"",IFERROR(SUMIF(معالجة!$B$3:$X$3,G$2,الرصد!$C144:$Y144)/SUMIF(معالجة!$B$3:$X$3,G$2,معالجة!$B$4:$X$4),""))</f>
        <v/>
      </c>
      <c r="H144" s="51" t="str">
        <f>IF(OR(H$2="",COUNT(الرصد!$C144:$Y144)=0),"",IFERROR(SUMIF(معالجة!$B$3:$X$3,H$2,الرصد!$C144:$Y144)/SUMIF(معالجة!$B$3:$X$3,H$2,معالجة!$B$4:$X$4),""))</f>
        <v/>
      </c>
      <c r="I144" s="51" t="str">
        <f>IF(OR(I$2="",COUNT(الرصد!$C144:$Y144)=0),"",IFERROR(SUMIF(معالجة!$B$3:$X$3,I$2,الرصد!$C144:$Y144)/SUMIF(معالجة!$B$3:$X$3,I$2,معالجة!$B$4:$X$4),""))</f>
        <v/>
      </c>
      <c r="J144" s="51" t="str">
        <f>IF(OR(J$2="",COUNT(الرصد!$C144:$Y144)=0),"",IFERROR(SUMIF(معالجة!$B$3:$X$3,J$2,الرصد!$C144:$Y144)/SUMIF(معالجة!$B$3:$X$3,J$2,معالجة!$B$4:$X$4),""))</f>
        <v/>
      </c>
      <c r="K144" s="51" t="str">
        <f>IF(OR(K$2="",COUNT(الرصد!$C144:$Y144)=0),"",IFERROR(SUMIF(معالجة!$B$3:$X$3,K$2,الرصد!$C144:$Y144)/SUMIF(معالجة!$B$3:$X$3,K$2,معالجة!$B$4:$X$4),""))</f>
        <v/>
      </c>
      <c r="L144" s="51" t="str">
        <f>IF(OR(L$2="",COUNT(الرصد!$C144:$Y144)=0),"",IFERROR(SUMIF(معالجة!$B$3:$X$3,L$2,الرصد!$C144:$Y144)/SUMIF(معالجة!$B$3:$X$3,L$2,معالجة!$B$4:$X$4),""))</f>
        <v/>
      </c>
      <c r="M144" s="51" t="str">
        <f>IF(OR(M$2="",COUNT(الرصد!$C144:$Y144)=0),"",IFERROR(SUMIF(معالجة!$B$3:$X$3,M$2,الرصد!$C144:$Y144)/SUMIF(معالجة!$B$3:$X$3,M$2,معالجة!$B$4:$X$4),""))</f>
        <v/>
      </c>
      <c r="N144" s="51" t="str">
        <f>IF(OR(N$2="",COUNT(الرصد!$C144:$Y144)=0),"",IFERROR(SUMIF(معالجة!$B$3:$X$3,N$2,الرصد!$C144:$Y144)/SUMIF(معالجة!$B$3:$X$3,N$2,معالجة!$B$4:$X$4),""))</f>
        <v/>
      </c>
      <c r="O144" s="51" t="str">
        <f>IF(OR(O$2="",COUNT(الرصد!$C144:$Y144)=0),"",IFERROR(SUMIF(معالجة!$B$3:$X$3,O$2,الرصد!$C144:$Y144)/SUMIF(معالجة!$B$3:$X$3,O$2,معالجة!$B$4:$X$4),""))</f>
        <v/>
      </c>
      <c r="P144" s="51" t="str">
        <f>IF(OR(P$2="",COUNT(الرصد!$C144:$Y144)=0),"",IFERROR(SUMIF(معالجة!$B$3:$X$3,P$2,الرصد!$C144:$Y144)/SUMIF(معالجة!$B$3:$X$3,P$2,معالجة!$B$4:$X$4),""))</f>
        <v/>
      </c>
      <c r="Q144" s="51" t="str">
        <f>IF(OR(Q$2="",COUNT(الرصد!$C144:$Y144)=0),"",IFERROR(SUMIF(معالجة!$B$3:$X$3,Q$2,الرصد!$C144:$Y144)/SUMIF(معالجة!$B$3:$X$3,Q$2,معالجة!$B$4:$X$4),""))</f>
        <v/>
      </c>
      <c r="R144" s="51" t="str">
        <f>IF(OR(R$2="",COUNT(الرصد!$C144:$Y144)=0),"",IFERROR(SUMIF(معالجة!$B$3:$X$3,R$2,الرصد!$C144:$Y144)/SUMIF(معالجة!$B$3:$X$3,R$2,معالجة!$B$4:$X$4),""))</f>
        <v/>
      </c>
      <c r="S144" s="51" t="str">
        <f>IF(OR(S$2="",COUNT(الرصد!$C144:$Y144)=0),"",IFERROR(SUMIF(معالجة!$B$3:$X$3,S$2,الرصد!$C144:$Y144)/SUMIF(معالجة!$B$3:$X$3,S$2,معالجة!$B$4:$X$4),""))</f>
        <v/>
      </c>
      <c r="T144" s="51" t="str">
        <f>IF(OR(T$2="",COUNT(الرصد!$C144:$Y144)=0),"",IFERROR(SUMIF(معالجة!$B$3:$X$3,T$2,الرصد!$C144:$Y144)/SUMIF(معالجة!$B$3:$X$3,T$2,معالجة!$B$4:$X$4),""))</f>
        <v/>
      </c>
      <c r="U144" s="51" t="str">
        <f>IF(OR(U$2="",COUNT(الرصد!$C144:$Y144)=0),"",IFERROR(SUMIF(معالجة!$B$3:$X$3,U$2,الرصد!$C144:$Y144)/SUMIF(معالجة!$B$3:$X$3,U$2,معالجة!$B$4:$X$4),""))</f>
        <v/>
      </c>
      <c r="V144" s="51" t="str">
        <f>IF(OR(V$2="",COUNT(الرصد!$C144:$Y144)=0),"",IFERROR(SUMIF(معالجة!$B$3:$X$3,V$2,الرصد!$C144:$Y144)/SUMIF(معالجة!$B$3:$X$3,V$2,معالجة!$B$4:$X$4),""))</f>
        <v/>
      </c>
      <c r="W144" s="51" t="str">
        <f>IFERROR(C144/المهارات!$G$27,"")</f>
        <v/>
      </c>
    </row>
    <row r="145" spans="1:23" ht="14.25" customHeight="1">
      <c r="A145" s="42" t="s">
        <v>214</v>
      </c>
      <c r="B145" s="42" t="s">
        <v>23</v>
      </c>
      <c r="C145" s="50" t="str">
        <f>IF(COUNT(الرصد!C145:Y145)=0,"",SUM(الرصد!C145:Y145))</f>
        <v/>
      </c>
      <c r="D145" s="51" t="str">
        <f>IF(OR(D$2="",COUNT(الرصد!$C145:$Y145)=0),"",IFERROR(SUMIF(معالجة!$B$3:$X$3,D$2,الرصد!$C145:$Y145)/SUMIF(معالجة!$B$3:$X$3,D$2,معالجة!$B$4:$X$4),""))</f>
        <v/>
      </c>
      <c r="E145" s="51" t="str">
        <f>IF(OR(E$2="",COUNT(الرصد!$C145:$Y145)=0),"",IFERROR(SUMIF(معالجة!$B$3:$X$3,E$2,الرصد!$C145:$Y145)/SUMIF(معالجة!$B$3:$X$3,E$2,معالجة!$B$4:$X$4),""))</f>
        <v/>
      </c>
      <c r="F145" s="51" t="str">
        <f>IF(OR(F$2="",COUNT(الرصد!$C145:$Y145)=0),"",IFERROR(SUMIF(معالجة!$B$3:$X$3,F$2,الرصد!$C145:$Y145)/SUMIF(معالجة!$B$3:$X$3,F$2,معالجة!$B$4:$X$4),""))</f>
        <v/>
      </c>
      <c r="G145" s="51" t="str">
        <f>IF(OR(G$2="",COUNT(الرصد!$C145:$Y145)=0),"",IFERROR(SUMIF(معالجة!$B$3:$X$3,G$2,الرصد!$C145:$Y145)/SUMIF(معالجة!$B$3:$X$3,G$2,معالجة!$B$4:$X$4),""))</f>
        <v/>
      </c>
      <c r="H145" s="51" t="str">
        <f>IF(OR(H$2="",COUNT(الرصد!$C145:$Y145)=0),"",IFERROR(SUMIF(معالجة!$B$3:$X$3,H$2,الرصد!$C145:$Y145)/SUMIF(معالجة!$B$3:$X$3,H$2,معالجة!$B$4:$X$4),""))</f>
        <v/>
      </c>
      <c r="I145" s="51" t="str">
        <f>IF(OR(I$2="",COUNT(الرصد!$C145:$Y145)=0),"",IFERROR(SUMIF(معالجة!$B$3:$X$3,I$2,الرصد!$C145:$Y145)/SUMIF(معالجة!$B$3:$X$3,I$2,معالجة!$B$4:$X$4),""))</f>
        <v/>
      </c>
      <c r="J145" s="51" t="str">
        <f>IF(OR(J$2="",COUNT(الرصد!$C145:$Y145)=0),"",IFERROR(SUMIF(معالجة!$B$3:$X$3,J$2,الرصد!$C145:$Y145)/SUMIF(معالجة!$B$3:$X$3,J$2,معالجة!$B$4:$X$4),""))</f>
        <v/>
      </c>
      <c r="K145" s="51" t="str">
        <f>IF(OR(K$2="",COUNT(الرصد!$C145:$Y145)=0),"",IFERROR(SUMIF(معالجة!$B$3:$X$3,K$2,الرصد!$C145:$Y145)/SUMIF(معالجة!$B$3:$X$3,K$2,معالجة!$B$4:$X$4),""))</f>
        <v/>
      </c>
      <c r="L145" s="51" t="str">
        <f>IF(OR(L$2="",COUNT(الرصد!$C145:$Y145)=0),"",IFERROR(SUMIF(معالجة!$B$3:$X$3,L$2,الرصد!$C145:$Y145)/SUMIF(معالجة!$B$3:$X$3,L$2,معالجة!$B$4:$X$4),""))</f>
        <v/>
      </c>
      <c r="M145" s="51" t="str">
        <f>IF(OR(M$2="",COUNT(الرصد!$C145:$Y145)=0),"",IFERROR(SUMIF(معالجة!$B$3:$X$3,M$2,الرصد!$C145:$Y145)/SUMIF(معالجة!$B$3:$X$3,M$2,معالجة!$B$4:$X$4),""))</f>
        <v/>
      </c>
      <c r="N145" s="51" t="str">
        <f>IF(OR(N$2="",COUNT(الرصد!$C145:$Y145)=0),"",IFERROR(SUMIF(معالجة!$B$3:$X$3,N$2,الرصد!$C145:$Y145)/SUMIF(معالجة!$B$3:$X$3,N$2,معالجة!$B$4:$X$4),""))</f>
        <v/>
      </c>
      <c r="O145" s="51" t="str">
        <f>IF(OR(O$2="",COUNT(الرصد!$C145:$Y145)=0),"",IFERROR(SUMIF(معالجة!$B$3:$X$3,O$2,الرصد!$C145:$Y145)/SUMIF(معالجة!$B$3:$X$3,O$2,معالجة!$B$4:$X$4),""))</f>
        <v/>
      </c>
      <c r="P145" s="51" t="str">
        <f>IF(OR(P$2="",COUNT(الرصد!$C145:$Y145)=0),"",IFERROR(SUMIF(معالجة!$B$3:$X$3,P$2,الرصد!$C145:$Y145)/SUMIF(معالجة!$B$3:$X$3,P$2,معالجة!$B$4:$X$4),""))</f>
        <v/>
      </c>
      <c r="Q145" s="51" t="str">
        <f>IF(OR(Q$2="",COUNT(الرصد!$C145:$Y145)=0),"",IFERROR(SUMIF(معالجة!$B$3:$X$3,Q$2,الرصد!$C145:$Y145)/SUMIF(معالجة!$B$3:$X$3,Q$2,معالجة!$B$4:$X$4),""))</f>
        <v/>
      </c>
      <c r="R145" s="51" t="str">
        <f>IF(OR(R$2="",COUNT(الرصد!$C145:$Y145)=0),"",IFERROR(SUMIF(معالجة!$B$3:$X$3,R$2,الرصد!$C145:$Y145)/SUMIF(معالجة!$B$3:$X$3,R$2,معالجة!$B$4:$X$4),""))</f>
        <v/>
      </c>
      <c r="S145" s="51" t="str">
        <f>IF(OR(S$2="",COUNT(الرصد!$C145:$Y145)=0),"",IFERROR(SUMIF(معالجة!$B$3:$X$3,S$2,الرصد!$C145:$Y145)/SUMIF(معالجة!$B$3:$X$3,S$2,معالجة!$B$4:$X$4),""))</f>
        <v/>
      </c>
      <c r="T145" s="51" t="str">
        <f>IF(OR(T$2="",COUNT(الرصد!$C145:$Y145)=0),"",IFERROR(SUMIF(معالجة!$B$3:$X$3,T$2,الرصد!$C145:$Y145)/SUMIF(معالجة!$B$3:$X$3,T$2,معالجة!$B$4:$X$4),""))</f>
        <v/>
      </c>
      <c r="U145" s="51" t="str">
        <f>IF(OR(U$2="",COUNT(الرصد!$C145:$Y145)=0),"",IFERROR(SUMIF(معالجة!$B$3:$X$3,U$2,الرصد!$C145:$Y145)/SUMIF(معالجة!$B$3:$X$3,U$2,معالجة!$B$4:$X$4),""))</f>
        <v/>
      </c>
      <c r="V145" s="51" t="str">
        <f>IF(OR(V$2="",COUNT(الرصد!$C145:$Y145)=0),"",IFERROR(SUMIF(معالجة!$B$3:$X$3,V$2,الرصد!$C145:$Y145)/SUMIF(معالجة!$B$3:$X$3,V$2,معالجة!$B$4:$X$4),""))</f>
        <v/>
      </c>
      <c r="W145" s="51" t="str">
        <f>IFERROR(C145/المهارات!$G$27,"")</f>
        <v/>
      </c>
    </row>
    <row r="146" spans="1:23" ht="14.25" customHeight="1">
      <c r="A146" s="46" t="s">
        <v>215</v>
      </c>
      <c r="B146" s="46" t="s">
        <v>23</v>
      </c>
      <c r="C146" s="52" t="str">
        <f>IF(COUNT(الرصد!C146:Y146)=0,"",SUM(الرصد!C146:Y146))</f>
        <v/>
      </c>
      <c r="D146" s="51" t="str">
        <f>IF(OR(D$2="",COUNT(الرصد!$C146:$Y146)=0),"",IFERROR(SUMIF(معالجة!$B$3:$X$3,D$2,الرصد!$C146:$Y146)/SUMIF(معالجة!$B$3:$X$3,D$2,معالجة!$B$4:$X$4),""))</f>
        <v/>
      </c>
      <c r="E146" s="51" t="str">
        <f>IF(OR(E$2="",COUNT(الرصد!$C146:$Y146)=0),"",IFERROR(SUMIF(معالجة!$B$3:$X$3,E$2,الرصد!$C146:$Y146)/SUMIF(معالجة!$B$3:$X$3,E$2,معالجة!$B$4:$X$4),""))</f>
        <v/>
      </c>
      <c r="F146" s="51" t="str">
        <f>IF(OR(F$2="",COUNT(الرصد!$C146:$Y146)=0),"",IFERROR(SUMIF(معالجة!$B$3:$X$3,F$2,الرصد!$C146:$Y146)/SUMIF(معالجة!$B$3:$X$3,F$2,معالجة!$B$4:$X$4),""))</f>
        <v/>
      </c>
      <c r="G146" s="51" t="str">
        <f>IF(OR(G$2="",COUNT(الرصد!$C146:$Y146)=0),"",IFERROR(SUMIF(معالجة!$B$3:$X$3,G$2,الرصد!$C146:$Y146)/SUMIF(معالجة!$B$3:$X$3,G$2,معالجة!$B$4:$X$4),""))</f>
        <v/>
      </c>
      <c r="H146" s="51" t="str">
        <f>IF(OR(H$2="",COUNT(الرصد!$C146:$Y146)=0),"",IFERROR(SUMIF(معالجة!$B$3:$X$3,H$2,الرصد!$C146:$Y146)/SUMIF(معالجة!$B$3:$X$3,H$2,معالجة!$B$4:$X$4),""))</f>
        <v/>
      </c>
      <c r="I146" s="51" t="str">
        <f>IF(OR(I$2="",COUNT(الرصد!$C146:$Y146)=0),"",IFERROR(SUMIF(معالجة!$B$3:$X$3,I$2,الرصد!$C146:$Y146)/SUMIF(معالجة!$B$3:$X$3,I$2,معالجة!$B$4:$X$4),""))</f>
        <v/>
      </c>
      <c r="J146" s="51" t="str">
        <f>IF(OR(J$2="",COUNT(الرصد!$C146:$Y146)=0),"",IFERROR(SUMIF(معالجة!$B$3:$X$3,J$2,الرصد!$C146:$Y146)/SUMIF(معالجة!$B$3:$X$3,J$2,معالجة!$B$4:$X$4),""))</f>
        <v/>
      </c>
      <c r="K146" s="51" t="str">
        <f>IF(OR(K$2="",COUNT(الرصد!$C146:$Y146)=0),"",IFERROR(SUMIF(معالجة!$B$3:$X$3,K$2,الرصد!$C146:$Y146)/SUMIF(معالجة!$B$3:$X$3,K$2,معالجة!$B$4:$X$4),""))</f>
        <v/>
      </c>
      <c r="L146" s="51" t="str">
        <f>IF(OR(L$2="",COUNT(الرصد!$C146:$Y146)=0),"",IFERROR(SUMIF(معالجة!$B$3:$X$3,L$2,الرصد!$C146:$Y146)/SUMIF(معالجة!$B$3:$X$3,L$2,معالجة!$B$4:$X$4),""))</f>
        <v/>
      </c>
      <c r="M146" s="51" t="str">
        <f>IF(OR(M$2="",COUNT(الرصد!$C146:$Y146)=0),"",IFERROR(SUMIF(معالجة!$B$3:$X$3,M$2,الرصد!$C146:$Y146)/SUMIF(معالجة!$B$3:$X$3,M$2,معالجة!$B$4:$X$4),""))</f>
        <v/>
      </c>
      <c r="N146" s="51" t="str">
        <f>IF(OR(N$2="",COUNT(الرصد!$C146:$Y146)=0),"",IFERROR(SUMIF(معالجة!$B$3:$X$3,N$2,الرصد!$C146:$Y146)/SUMIF(معالجة!$B$3:$X$3,N$2,معالجة!$B$4:$X$4),""))</f>
        <v/>
      </c>
      <c r="O146" s="51" t="str">
        <f>IF(OR(O$2="",COUNT(الرصد!$C146:$Y146)=0),"",IFERROR(SUMIF(معالجة!$B$3:$X$3,O$2,الرصد!$C146:$Y146)/SUMIF(معالجة!$B$3:$X$3,O$2,معالجة!$B$4:$X$4),""))</f>
        <v/>
      </c>
      <c r="P146" s="51" t="str">
        <f>IF(OR(P$2="",COUNT(الرصد!$C146:$Y146)=0),"",IFERROR(SUMIF(معالجة!$B$3:$X$3,P$2,الرصد!$C146:$Y146)/SUMIF(معالجة!$B$3:$X$3,P$2,معالجة!$B$4:$X$4),""))</f>
        <v/>
      </c>
      <c r="Q146" s="51" t="str">
        <f>IF(OR(Q$2="",COUNT(الرصد!$C146:$Y146)=0),"",IFERROR(SUMIF(معالجة!$B$3:$X$3,Q$2,الرصد!$C146:$Y146)/SUMIF(معالجة!$B$3:$X$3,Q$2,معالجة!$B$4:$X$4),""))</f>
        <v/>
      </c>
      <c r="R146" s="51" t="str">
        <f>IF(OR(R$2="",COUNT(الرصد!$C146:$Y146)=0),"",IFERROR(SUMIF(معالجة!$B$3:$X$3,R$2,الرصد!$C146:$Y146)/SUMIF(معالجة!$B$3:$X$3,R$2,معالجة!$B$4:$X$4),""))</f>
        <v/>
      </c>
      <c r="S146" s="51" t="str">
        <f>IF(OR(S$2="",COUNT(الرصد!$C146:$Y146)=0),"",IFERROR(SUMIF(معالجة!$B$3:$X$3,S$2,الرصد!$C146:$Y146)/SUMIF(معالجة!$B$3:$X$3,S$2,معالجة!$B$4:$X$4),""))</f>
        <v/>
      </c>
      <c r="T146" s="51" t="str">
        <f>IF(OR(T$2="",COUNT(الرصد!$C146:$Y146)=0),"",IFERROR(SUMIF(معالجة!$B$3:$X$3,T$2,الرصد!$C146:$Y146)/SUMIF(معالجة!$B$3:$X$3,T$2,معالجة!$B$4:$X$4),""))</f>
        <v/>
      </c>
      <c r="U146" s="51" t="str">
        <f>IF(OR(U$2="",COUNT(الرصد!$C146:$Y146)=0),"",IFERROR(SUMIF(معالجة!$B$3:$X$3,U$2,الرصد!$C146:$Y146)/SUMIF(معالجة!$B$3:$X$3,U$2,معالجة!$B$4:$X$4),""))</f>
        <v/>
      </c>
      <c r="V146" s="51" t="str">
        <f>IF(OR(V$2="",COUNT(الرصد!$C146:$Y146)=0),"",IFERROR(SUMIF(معالجة!$B$3:$X$3,V$2,الرصد!$C146:$Y146)/SUMIF(معالجة!$B$3:$X$3,V$2,معالجة!$B$4:$X$4),""))</f>
        <v/>
      </c>
      <c r="W146" s="51" t="str">
        <f>IFERROR(C146/المهارات!$G$27,"")</f>
        <v/>
      </c>
    </row>
    <row r="147" spans="1:23" ht="14.25" customHeight="1">
      <c r="A147" s="42" t="s">
        <v>216</v>
      </c>
      <c r="B147" s="42" t="s">
        <v>23</v>
      </c>
      <c r="C147" s="50" t="str">
        <f>IF(COUNT(الرصد!C147:Y147)=0,"",SUM(الرصد!C147:Y147))</f>
        <v/>
      </c>
      <c r="D147" s="51" t="str">
        <f>IF(OR(D$2="",COUNT(الرصد!$C147:$Y147)=0),"",IFERROR(SUMIF(معالجة!$B$3:$X$3,D$2,الرصد!$C147:$Y147)/SUMIF(معالجة!$B$3:$X$3,D$2,معالجة!$B$4:$X$4),""))</f>
        <v/>
      </c>
      <c r="E147" s="51" t="str">
        <f>IF(OR(E$2="",COUNT(الرصد!$C147:$Y147)=0),"",IFERROR(SUMIF(معالجة!$B$3:$X$3,E$2,الرصد!$C147:$Y147)/SUMIF(معالجة!$B$3:$X$3,E$2,معالجة!$B$4:$X$4),""))</f>
        <v/>
      </c>
      <c r="F147" s="51" t="str">
        <f>IF(OR(F$2="",COUNT(الرصد!$C147:$Y147)=0),"",IFERROR(SUMIF(معالجة!$B$3:$X$3,F$2,الرصد!$C147:$Y147)/SUMIF(معالجة!$B$3:$X$3,F$2,معالجة!$B$4:$X$4),""))</f>
        <v/>
      </c>
      <c r="G147" s="51" t="str">
        <f>IF(OR(G$2="",COUNT(الرصد!$C147:$Y147)=0),"",IFERROR(SUMIF(معالجة!$B$3:$X$3,G$2,الرصد!$C147:$Y147)/SUMIF(معالجة!$B$3:$X$3,G$2,معالجة!$B$4:$X$4),""))</f>
        <v/>
      </c>
      <c r="H147" s="51" t="str">
        <f>IF(OR(H$2="",COUNT(الرصد!$C147:$Y147)=0),"",IFERROR(SUMIF(معالجة!$B$3:$X$3,H$2,الرصد!$C147:$Y147)/SUMIF(معالجة!$B$3:$X$3,H$2,معالجة!$B$4:$X$4),""))</f>
        <v/>
      </c>
      <c r="I147" s="51" t="str">
        <f>IF(OR(I$2="",COUNT(الرصد!$C147:$Y147)=0),"",IFERROR(SUMIF(معالجة!$B$3:$X$3,I$2,الرصد!$C147:$Y147)/SUMIF(معالجة!$B$3:$X$3,I$2,معالجة!$B$4:$X$4),""))</f>
        <v/>
      </c>
      <c r="J147" s="51" t="str">
        <f>IF(OR(J$2="",COUNT(الرصد!$C147:$Y147)=0),"",IFERROR(SUMIF(معالجة!$B$3:$X$3,J$2,الرصد!$C147:$Y147)/SUMIF(معالجة!$B$3:$X$3,J$2,معالجة!$B$4:$X$4),""))</f>
        <v/>
      </c>
      <c r="K147" s="51" t="str">
        <f>IF(OR(K$2="",COUNT(الرصد!$C147:$Y147)=0),"",IFERROR(SUMIF(معالجة!$B$3:$X$3,K$2,الرصد!$C147:$Y147)/SUMIF(معالجة!$B$3:$X$3,K$2,معالجة!$B$4:$X$4),""))</f>
        <v/>
      </c>
      <c r="L147" s="51" t="str">
        <f>IF(OR(L$2="",COUNT(الرصد!$C147:$Y147)=0),"",IFERROR(SUMIF(معالجة!$B$3:$X$3,L$2,الرصد!$C147:$Y147)/SUMIF(معالجة!$B$3:$X$3,L$2,معالجة!$B$4:$X$4),""))</f>
        <v/>
      </c>
      <c r="M147" s="51" t="str">
        <f>IF(OR(M$2="",COUNT(الرصد!$C147:$Y147)=0),"",IFERROR(SUMIF(معالجة!$B$3:$X$3,M$2,الرصد!$C147:$Y147)/SUMIF(معالجة!$B$3:$X$3,M$2,معالجة!$B$4:$X$4),""))</f>
        <v/>
      </c>
      <c r="N147" s="51" t="str">
        <f>IF(OR(N$2="",COUNT(الرصد!$C147:$Y147)=0),"",IFERROR(SUMIF(معالجة!$B$3:$X$3,N$2,الرصد!$C147:$Y147)/SUMIF(معالجة!$B$3:$X$3,N$2,معالجة!$B$4:$X$4),""))</f>
        <v/>
      </c>
      <c r="O147" s="51" t="str">
        <f>IF(OR(O$2="",COUNT(الرصد!$C147:$Y147)=0),"",IFERROR(SUMIF(معالجة!$B$3:$X$3,O$2,الرصد!$C147:$Y147)/SUMIF(معالجة!$B$3:$X$3,O$2,معالجة!$B$4:$X$4),""))</f>
        <v/>
      </c>
      <c r="P147" s="51" t="str">
        <f>IF(OR(P$2="",COUNT(الرصد!$C147:$Y147)=0),"",IFERROR(SUMIF(معالجة!$B$3:$X$3,P$2,الرصد!$C147:$Y147)/SUMIF(معالجة!$B$3:$X$3,P$2,معالجة!$B$4:$X$4),""))</f>
        <v/>
      </c>
      <c r="Q147" s="51" t="str">
        <f>IF(OR(Q$2="",COUNT(الرصد!$C147:$Y147)=0),"",IFERROR(SUMIF(معالجة!$B$3:$X$3,Q$2,الرصد!$C147:$Y147)/SUMIF(معالجة!$B$3:$X$3,Q$2,معالجة!$B$4:$X$4),""))</f>
        <v/>
      </c>
      <c r="R147" s="51" t="str">
        <f>IF(OR(R$2="",COUNT(الرصد!$C147:$Y147)=0),"",IFERROR(SUMIF(معالجة!$B$3:$X$3,R$2,الرصد!$C147:$Y147)/SUMIF(معالجة!$B$3:$X$3,R$2,معالجة!$B$4:$X$4),""))</f>
        <v/>
      </c>
      <c r="S147" s="51" t="str">
        <f>IF(OR(S$2="",COUNT(الرصد!$C147:$Y147)=0),"",IFERROR(SUMIF(معالجة!$B$3:$X$3,S$2,الرصد!$C147:$Y147)/SUMIF(معالجة!$B$3:$X$3,S$2,معالجة!$B$4:$X$4),""))</f>
        <v/>
      </c>
      <c r="T147" s="51" t="str">
        <f>IF(OR(T$2="",COUNT(الرصد!$C147:$Y147)=0),"",IFERROR(SUMIF(معالجة!$B$3:$X$3,T$2,الرصد!$C147:$Y147)/SUMIF(معالجة!$B$3:$X$3,T$2,معالجة!$B$4:$X$4),""))</f>
        <v/>
      </c>
      <c r="U147" s="51" t="str">
        <f>IF(OR(U$2="",COUNT(الرصد!$C147:$Y147)=0),"",IFERROR(SUMIF(معالجة!$B$3:$X$3,U$2,الرصد!$C147:$Y147)/SUMIF(معالجة!$B$3:$X$3,U$2,معالجة!$B$4:$X$4),""))</f>
        <v/>
      </c>
      <c r="V147" s="51" t="str">
        <f>IF(OR(V$2="",COUNT(الرصد!$C147:$Y147)=0),"",IFERROR(SUMIF(معالجة!$B$3:$X$3,V$2,الرصد!$C147:$Y147)/SUMIF(معالجة!$B$3:$X$3,V$2,معالجة!$B$4:$X$4),""))</f>
        <v/>
      </c>
      <c r="W147" s="51" t="str">
        <f>IFERROR(C147/المهارات!$G$27,"")</f>
        <v/>
      </c>
    </row>
    <row r="148" spans="1:23" ht="14.25" customHeight="1">
      <c r="A148" s="46" t="s">
        <v>217</v>
      </c>
      <c r="B148" s="46" t="s">
        <v>23</v>
      </c>
      <c r="C148" s="52" t="str">
        <f>IF(COUNT(الرصد!C148:Y148)=0,"",SUM(الرصد!C148:Y148))</f>
        <v/>
      </c>
      <c r="D148" s="51" t="str">
        <f>IF(OR(D$2="",COUNT(الرصد!$C148:$Y148)=0),"",IFERROR(SUMIF(معالجة!$B$3:$X$3,D$2,الرصد!$C148:$Y148)/SUMIF(معالجة!$B$3:$X$3,D$2,معالجة!$B$4:$X$4),""))</f>
        <v/>
      </c>
      <c r="E148" s="51" t="str">
        <f>IF(OR(E$2="",COUNT(الرصد!$C148:$Y148)=0),"",IFERROR(SUMIF(معالجة!$B$3:$X$3,E$2,الرصد!$C148:$Y148)/SUMIF(معالجة!$B$3:$X$3,E$2,معالجة!$B$4:$X$4),""))</f>
        <v/>
      </c>
      <c r="F148" s="51" t="str">
        <f>IF(OR(F$2="",COUNT(الرصد!$C148:$Y148)=0),"",IFERROR(SUMIF(معالجة!$B$3:$X$3,F$2,الرصد!$C148:$Y148)/SUMIF(معالجة!$B$3:$X$3,F$2,معالجة!$B$4:$X$4),""))</f>
        <v/>
      </c>
      <c r="G148" s="51" t="str">
        <f>IF(OR(G$2="",COUNT(الرصد!$C148:$Y148)=0),"",IFERROR(SUMIF(معالجة!$B$3:$X$3,G$2,الرصد!$C148:$Y148)/SUMIF(معالجة!$B$3:$X$3,G$2,معالجة!$B$4:$X$4),""))</f>
        <v/>
      </c>
      <c r="H148" s="51" t="str">
        <f>IF(OR(H$2="",COUNT(الرصد!$C148:$Y148)=0),"",IFERROR(SUMIF(معالجة!$B$3:$X$3,H$2,الرصد!$C148:$Y148)/SUMIF(معالجة!$B$3:$X$3,H$2,معالجة!$B$4:$X$4),""))</f>
        <v/>
      </c>
      <c r="I148" s="51" t="str">
        <f>IF(OR(I$2="",COUNT(الرصد!$C148:$Y148)=0),"",IFERROR(SUMIF(معالجة!$B$3:$X$3,I$2,الرصد!$C148:$Y148)/SUMIF(معالجة!$B$3:$X$3,I$2,معالجة!$B$4:$X$4),""))</f>
        <v/>
      </c>
      <c r="J148" s="51" t="str">
        <f>IF(OR(J$2="",COUNT(الرصد!$C148:$Y148)=0),"",IFERROR(SUMIF(معالجة!$B$3:$X$3,J$2,الرصد!$C148:$Y148)/SUMIF(معالجة!$B$3:$X$3,J$2,معالجة!$B$4:$X$4),""))</f>
        <v/>
      </c>
      <c r="K148" s="51" t="str">
        <f>IF(OR(K$2="",COUNT(الرصد!$C148:$Y148)=0),"",IFERROR(SUMIF(معالجة!$B$3:$X$3,K$2,الرصد!$C148:$Y148)/SUMIF(معالجة!$B$3:$X$3,K$2,معالجة!$B$4:$X$4),""))</f>
        <v/>
      </c>
      <c r="L148" s="51" t="str">
        <f>IF(OR(L$2="",COUNT(الرصد!$C148:$Y148)=0),"",IFERROR(SUMIF(معالجة!$B$3:$X$3,L$2,الرصد!$C148:$Y148)/SUMIF(معالجة!$B$3:$X$3,L$2,معالجة!$B$4:$X$4),""))</f>
        <v/>
      </c>
      <c r="M148" s="51" t="str">
        <f>IF(OR(M$2="",COUNT(الرصد!$C148:$Y148)=0),"",IFERROR(SUMIF(معالجة!$B$3:$X$3,M$2,الرصد!$C148:$Y148)/SUMIF(معالجة!$B$3:$X$3,M$2,معالجة!$B$4:$X$4),""))</f>
        <v/>
      </c>
      <c r="N148" s="51" t="str">
        <f>IF(OR(N$2="",COUNT(الرصد!$C148:$Y148)=0),"",IFERROR(SUMIF(معالجة!$B$3:$X$3,N$2,الرصد!$C148:$Y148)/SUMIF(معالجة!$B$3:$X$3,N$2,معالجة!$B$4:$X$4),""))</f>
        <v/>
      </c>
      <c r="O148" s="51" t="str">
        <f>IF(OR(O$2="",COUNT(الرصد!$C148:$Y148)=0),"",IFERROR(SUMIF(معالجة!$B$3:$X$3,O$2,الرصد!$C148:$Y148)/SUMIF(معالجة!$B$3:$X$3,O$2,معالجة!$B$4:$X$4),""))</f>
        <v/>
      </c>
      <c r="P148" s="51" t="str">
        <f>IF(OR(P$2="",COUNT(الرصد!$C148:$Y148)=0),"",IFERROR(SUMIF(معالجة!$B$3:$X$3,P$2,الرصد!$C148:$Y148)/SUMIF(معالجة!$B$3:$X$3,P$2,معالجة!$B$4:$X$4),""))</f>
        <v/>
      </c>
      <c r="Q148" s="51" t="str">
        <f>IF(OR(Q$2="",COUNT(الرصد!$C148:$Y148)=0),"",IFERROR(SUMIF(معالجة!$B$3:$X$3,Q$2,الرصد!$C148:$Y148)/SUMIF(معالجة!$B$3:$X$3,Q$2,معالجة!$B$4:$X$4),""))</f>
        <v/>
      </c>
      <c r="R148" s="51" t="str">
        <f>IF(OR(R$2="",COUNT(الرصد!$C148:$Y148)=0),"",IFERROR(SUMIF(معالجة!$B$3:$X$3,R$2,الرصد!$C148:$Y148)/SUMIF(معالجة!$B$3:$X$3,R$2,معالجة!$B$4:$X$4),""))</f>
        <v/>
      </c>
      <c r="S148" s="51" t="str">
        <f>IF(OR(S$2="",COUNT(الرصد!$C148:$Y148)=0),"",IFERROR(SUMIF(معالجة!$B$3:$X$3,S$2,الرصد!$C148:$Y148)/SUMIF(معالجة!$B$3:$X$3,S$2,معالجة!$B$4:$X$4),""))</f>
        <v/>
      </c>
      <c r="T148" s="51" t="str">
        <f>IF(OR(T$2="",COUNT(الرصد!$C148:$Y148)=0),"",IFERROR(SUMIF(معالجة!$B$3:$X$3,T$2,الرصد!$C148:$Y148)/SUMIF(معالجة!$B$3:$X$3,T$2,معالجة!$B$4:$X$4),""))</f>
        <v/>
      </c>
      <c r="U148" s="51" t="str">
        <f>IF(OR(U$2="",COUNT(الرصد!$C148:$Y148)=0),"",IFERROR(SUMIF(معالجة!$B$3:$X$3,U$2,الرصد!$C148:$Y148)/SUMIF(معالجة!$B$3:$X$3,U$2,معالجة!$B$4:$X$4),""))</f>
        <v/>
      </c>
      <c r="V148" s="51" t="str">
        <f>IF(OR(V$2="",COUNT(الرصد!$C148:$Y148)=0),"",IFERROR(SUMIF(معالجة!$B$3:$X$3,V$2,الرصد!$C148:$Y148)/SUMIF(معالجة!$B$3:$X$3,V$2,معالجة!$B$4:$X$4),""))</f>
        <v/>
      </c>
      <c r="W148" s="51" t="str">
        <f>IFERROR(C148/المهارات!$G$27,"")</f>
        <v/>
      </c>
    </row>
    <row r="149" spans="1:23" ht="14.25" customHeight="1">
      <c r="A149" s="42" t="s">
        <v>218</v>
      </c>
      <c r="B149" s="42" t="s">
        <v>23</v>
      </c>
      <c r="C149" s="50" t="str">
        <f>IF(COUNT(الرصد!C149:Y149)=0,"",SUM(الرصد!C149:Y149))</f>
        <v/>
      </c>
      <c r="D149" s="51" t="str">
        <f>IF(OR(D$2="",COUNT(الرصد!$C149:$Y149)=0),"",IFERROR(SUMIF(معالجة!$B$3:$X$3,D$2,الرصد!$C149:$Y149)/SUMIF(معالجة!$B$3:$X$3,D$2,معالجة!$B$4:$X$4),""))</f>
        <v/>
      </c>
      <c r="E149" s="51" t="str">
        <f>IF(OR(E$2="",COUNT(الرصد!$C149:$Y149)=0),"",IFERROR(SUMIF(معالجة!$B$3:$X$3,E$2,الرصد!$C149:$Y149)/SUMIF(معالجة!$B$3:$X$3,E$2,معالجة!$B$4:$X$4),""))</f>
        <v/>
      </c>
      <c r="F149" s="51" t="str">
        <f>IF(OR(F$2="",COUNT(الرصد!$C149:$Y149)=0),"",IFERROR(SUMIF(معالجة!$B$3:$X$3,F$2,الرصد!$C149:$Y149)/SUMIF(معالجة!$B$3:$X$3,F$2,معالجة!$B$4:$X$4),""))</f>
        <v/>
      </c>
      <c r="G149" s="51" t="str">
        <f>IF(OR(G$2="",COUNT(الرصد!$C149:$Y149)=0),"",IFERROR(SUMIF(معالجة!$B$3:$X$3,G$2,الرصد!$C149:$Y149)/SUMIF(معالجة!$B$3:$X$3,G$2,معالجة!$B$4:$X$4),""))</f>
        <v/>
      </c>
      <c r="H149" s="51" t="str">
        <f>IF(OR(H$2="",COUNT(الرصد!$C149:$Y149)=0),"",IFERROR(SUMIF(معالجة!$B$3:$X$3,H$2,الرصد!$C149:$Y149)/SUMIF(معالجة!$B$3:$X$3,H$2,معالجة!$B$4:$X$4),""))</f>
        <v/>
      </c>
      <c r="I149" s="51" t="str">
        <f>IF(OR(I$2="",COUNT(الرصد!$C149:$Y149)=0),"",IFERROR(SUMIF(معالجة!$B$3:$X$3,I$2,الرصد!$C149:$Y149)/SUMIF(معالجة!$B$3:$X$3,I$2,معالجة!$B$4:$X$4),""))</f>
        <v/>
      </c>
      <c r="J149" s="51" t="str">
        <f>IF(OR(J$2="",COUNT(الرصد!$C149:$Y149)=0),"",IFERROR(SUMIF(معالجة!$B$3:$X$3,J$2,الرصد!$C149:$Y149)/SUMIF(معالجة!$B$3:$X$3,J$2,معالجة!$B$4:$X$4),""))</f>
        <v/>
      </c>
      <c r="K149" s="51" t="str">
        <f>IF(OR(K$2="",COUNT(الرصد!$C149:$Y149)=0),"",IFERROR(SUMIF(معالجة!$B$3:$X$3,K$2,الرصد!$C149:$Y149)/SUMIF(معالجة!$B$3:$X$3,K$2,معالجة!$B$4:$X$4),""))</f>
        <v/>
      </c>
      <c r="L149" s="51" t="str">
        <f>IF(OR(L$2="",COUNT(الرصد!$C149:$Y149)=0),"",IFERROR(SUMIF(معالجة!$B$3:$X$3,L$2,الرصد!$C149:$Y149)/SUMIF(معالجة!$B$3:$X$3,L$2,معالجة!$B$4:$X$4),""))</f>
        <v/>
      </c>
      <c r="M149" s="51" t="str">
        <f>IF(OR(M$2="",COUNT(الرصد!$C149:$Y149)=0),"",IFERROR(SUMIF(معالجة!$B$3:$X$3,M$2,الرصد!$C149:$Y149)/SUMIF(معالجة!$B$3:$X$3,M$2,معالجة!$B$4:$X$4),""))</f>
        <v/>
      </c>
      <c r="N149" s="51" t="str">
        <f>IF(OR(N$2="",COUNT(الرصد!$C149:$Y149)=0),"",IFERROR(SUMIF(معالجة!$B$3:$X$3,N$2,الرصد!$C149:$Y149)/SUMIF(معالجة!$B$3:$X$3,N$2,معالجة!$B$4:$X$4),""))</f>
        <v/>
      </c>
      <c r="O149" s="51" t="str">
        <f>IF(OR(O$2="",COUNT(الرصد!$C149:$Y149)=0),"",IFERROR(SUMIF(معالجة!$B$3:$X$3,O$2,الرصد!$C149:$Y149)/SUMIF(معالجة!$B$3:$X$3,O$2,معالجة!$B$4:$X$4),""))</f>
        <v/>
      </c>
      <c r="P149" s="51" t="str">
        <f>IF(OR(P$2="",COUNT(الرصد!$C149:$Y149)=0),"",IFERROR(SUMIF(معالجة!$B$3:$X$3,P$2,الرصد!$C149:$Y149)/SUMIF(معالجة!$B$3:$X$3,P$2,معالجة!$B$4:$X$4),""))</f>
        <v/>
      </c>
      <c r="Q149" s="51" t="str">
        <f>IF(OR(Q$2="",COUNT(الرصد!$C149:$Y149)=0),"",IFERROR(SUMIF(معالجة!$B$3:$X$3,Q$2,الرصد!$C149:$Y149)/SUMIF(معالجة!$B$3:$X$3,Q$2,معالجة!$B$4:$X$4),""))</f>
        <v/>
      </c>
      <c r="R149" s="51" t="str">
        <f>IF(OR(R$2="",COUNT(الرصد!$C149:$Y149)=0),"",IFERROR(SUMIF(معالجة!$B$3:$X$3,R$2,الرصد!$C149:$Y149)/SUMIF(معالجة!$B$3:$X$3,R$2,معالجة!$B$4:$X$4),""))</f>
        <v/>
      </c>
      <c r="S149" s="51" t="str">
        <f>IF(OR(S$2="",COUNT(الرصد!$C149:$Y149)=0),"",IFERROR(SUMIF(معالجة!$B$3:$X$3,S$2,الرصد!$C149:$Y149)/SUMIF(معالجة!$B$3:$X$3,S$2,معالجة!$B$4:$X$4),""))</f>
        <v/>
      </c>
      <c r="T149" s="51" t="str">
        <f>IF(OR(T$2="",COUNT(الرصد!$C149:$Y149)=0),"",IFERROR(SUMIF(معالجة!$B$3:$X$3,T$2,الرصد!$C149:$Y149)/SUMIF(معالجة!$B$3:$X$3,T$2,معالجة!$B$4:$X$4),""))</f>
        <v/>
      </c>
      <c r="U149" s="51" t="str">
        <f>IF(OR(U$2="",COUNT(الرصد!$C149:$Y149)=0),"",IFERROR(SUMIF(معالجة!$B$3:$X$3,U$2,الرصد!$C149:$Y149)/SUMIF(معالجة!$B$3:$X$3,U$2,معالجة!$B$4:$X$4),""))</f>
        <v/>
      </c>
      <c r="V149" s="51" t="str">
        <f>IF(OR(V$2="",COUNT(الرصد!$C149:$Y149)=0),"",IFERROR(SUMIF(معالجة!$B$3:$X$3,V$2,الرصد!$C149:$Y149)/SUMIF(معالجة!$B$3:$X$3,V$2,معالجة!$B$4:$X$4),""))</f>
        <v/>
      </c>
      <c r="W149" s="51" t="str">
        <f>IFERROR(C149/المهارات!$G$27,"")</f>
        <v/>
      </c>
    </row>
    <row r="150" spans="1:23" ht="14.25" customHeight="1">
      <c r="A150" s="46" t="s">
        <v>219</v>
      </c>
      <c r="B150" s="46" t="s">
        <v>23</v>
      </c>
      <c r="C150" s="52" t="str">
        <f>IF(COUNT(الرصد!C150:Y150)=0,"",SUM(الرصد!C150:Y150))</f>
        <v/>
      </c>
      <c r="D150" s="51" t="str">
        <f>IF(OR(D$2="",COUNT(الرصد!$C150:$Y150)=0),"",IFERROR(SUMIF(معالجة!$B$3:$X$3,D$2,الرصد!$C150:$Y150)/SUMIF(معالجة!$B$3:$X$3,D$2,معالجة!$B$4:$X$4),""))</f>
        <v/>
      </c>
      <c r="E150" s="51" t="str">
        <f>IF(OR(E$2="",COUNT(الرصد!$C150:$Y150)=0),"",IFERROR(SUMIF(معالجة!$B$3:$X$3,E$2,الرصد!$C150:$Y150)/SUMIF(معالجة!$B$3:$X$3,E$2,معالجة!$B$4:$X$4),""))</f>
        <v/>
      </c>
      <c r="F150" s="51" t="str">
        <f>IF(OR(F$2="",COUNT(الرصد!$C150:$Y150)=0),"",IFERROR(SUMIF(معالجة!$B$3:$X$3,F$2,الرصد!$C150:$Y150)/SUMIF(معالجة!$B$3:$X$3,F$2,معالجة!$B$4:$X$4),""))</f>
        <v/>
      </c>
      <c r="G150" s="51" t="str">
        <f>IF(OR(G$2="",COUNT(الرصد!$C150:$Y150)=0),"",IFERROR(SUMIF(معالجة!$B$3:$X$3,G$2,الرصد!$C150:$Y150)/SUMIF(معالجة!$B$3:$X$3,G$2,معالجة!$B$4:$X$4),""))</f>
        <v/>
      </c>
      <c r="H150" s="51" t="str">
        <f>IF(OR(H$2="",COUNT(الرصد!$C150:$Y150)=0),"",IFERROR(SUMIF(معالجة!$B$3:$X$3,H$2,الرصد!$C150:$Y150)/SUMIF(معالجة!$B$3:$X$3,H$2,معالجة!$B$4:$X$4),""))</f>
        <v/>
      </c>
      <c r="I150" s="51" t="str">
        <f>IF(OR(I$2="",COUNT(الرصد!$C150:$Y150)=0),"",IFERROR(SUMIF(معالجة!$B$3:$X$3,I$2,الرصد!$C150:$Y150)/SUMIF(معالجة!$B$3:$X$3,I$2,معالجة!$B$4:$X$4),""))</f>
        <v/>
      </c>
      <c r="J150" s="51" t="str">
        <f>IF(OR(J$2="",COUNT(الرصد!$C150:$Y150)=0),"",IFERROR(SUMIF(معالجة!$B$3:$X$3,J$2,الرصد!$C150:$Y150)/SUMIF(معالجة!$B$3:$X$3,J$2,معالجة!$B$4:$X$4),""))</f>
        <v/>
      </c>
      <c r="K150" s="51" t="str">
        <f>IF(OR(K$2="",COUNT(الرصد!$C150:$Y150)=0),"",IFERROR(SUMIF(معالجة!$B$3:$X$3,K$2,الرصد!$C150:$Y150)/SUMIF(معالجة!$B$3:$X$3,K$2,معالجة!$B$4:$X$4),""))</f>
        <v/>
      </c>
      <c r="L150" s="51" t="str">
        <f>IF(OR(L$2="",COUNT(الرصد!$C150:$Y150)=0),"",IFERROR(SUMIF(معالجة!$B$3:$X$3,L$2,الرصد!$C150:$Y150)/SUMIF(معالجة!$B$3:$X$3,L$2,معالجة!$B$4:$X$4),""))</f>
        <v/>
      </c>
      <c r="M150" s="51" t="str">
        <f>IF(OR(M$2="",COUNT(الرصد!$C150:$Y150)=0),"",IFERROR(SUMIF(معالجة!$B$3:$X$3,M$2,الرصد!$C150:$Y150)/SUMIF(معالجة!$B$3:$X$3,M$2,معالجة!$B$4:$X$4),""))</f>
        <v/>
      </c>
      <c r="N150" s="51" t="str">
        <f>IF(OR(N$2="",COUNT(الرصد!$C150:$Y150)=0),"",IFERROR(SUMIF(معالجة!$B$3:$X$3,N$2,الرصد!$C150:$Y150)/SUMIF(معالجة!$B$3:$X$3,N$2,معالجة!$B$4:$X$4),""))</f>
        <v/>
      </c>
      <c r="O150" s="51" t="str">
        <f>IF(OR(O$2="",COUNT(الرصد!$C150:$Y150)=0),"",IFERROR(SUMIF(معالجة!$B$3:$X$3,O$2,الرصد!$C150:$Y150)/SUMIF(معالجة!$B$3:$X$3,O$2,معالجة!$B$4:$X$4),""))</f>
        <v/>
      </c>
      <c r="P150" s="51" t="str">
        <f>IF(OR(P$2="",COUNT(الرصد!$C150:$Y150)=0),"",IFERROR(SUMIF(معالجة!$B$3:$X$3,P$2,الرصد!$C150:$Y150)/SUMIF(معالجة!$B$3:$X$3,P$2,معالجة!$B$4:$X$4),""))</f>
        <v/>
      </c>
      <c r="Q150" s="51" t="str">
        <f>IF(OR(Q$2="",COUNT(الرصد!$C150:$Y150)=0),"",IFERROR(SUMIF(معالجة!$B$3:$X$3,Q$2,الرصد!$C150:$Y150)/SUMIF(معالجة!$B$3:$X$3,Q$2,معالجة!$B$4:$X$4),""))</f>
        <v/>
      </c>
      <c r="R150" s="51" t="str">
        <f>IF(OR(R$2="",COUNT(الرصد!$C150:$Y150)=0),"",IFERROR(SUMIF(معالجة!$B$3:$X$3,R$2,الرصد!$C150:$Y150)/SUMIF(معالجة!$B$3:$X$3,R$2,معالجة!$B$4:$X$4),""))</f>
        <v/>
      </c>
      <c r="S150" s="51" t="str">
        <f>IF(OR(S$2="",COUNT(الرصد!$C150:$Y150)=0),"",IFERROR(SUMIF(معالجة!$B$3:$X$3,S$2,الرصد!$C150:$Y150)/SUMIF(معالجة!$B$3:$X$3,S$2,معالجة!$B$4:$X$4),""))</f>
        <v/>
      </c>
      <c r="T150" s="51" t="str">
        <f>IF(OR(T$2="",COUNT(الرصد!$C150:$Y150)=0),"",IFERROR(SUMIF(معالجة!$B$3:$X$3,T$2,الرصد!$C150:$Y150)/SUMIF(معالجة!$B$3:$X$3,T$2,معالجة!$B$4:$X$4),""))</f>
        <v/>
      </c>
      <c r="U150" s="51" t="str">
        <f>IF(OR(U$2="",COUNT(الرصد!$C150:$Y150)=0),"",IFERROR(SUMIF(معالجة!$B$3:$X$3,U$2,الرصد!$C150:$Y150)/SUMIF(معالجة!$B$3:$X$3,U$2,معالجة!$B$4:$X$4),""))</f>
        <v/>
      </c>
      <c r="V150" s="51" t="str">
        <f>IF(OR(V$2="",COUNT(الرصد!$C150:$Y150)=0),"",IFERROR(SUMIF(معالجة!$B$3:$X$3,V$2,الرصد!$C150:$Y150)/SUMIF(معالجة!$B$3:$X$3,V$2,معالجة!$B$4:$X$4),""))</f>
        <v/>
      </c>
      <c r="W150" s="51" t="str">
        <f>IFERROR(C150/المهارات!$G$27,"")</f>
        <v/>
      </c>
    </row>
    <row r="151" spans="1:23" ht="14.25" customHeight="1">
      <c r="A151" s="42" t="s">
        <v>220</v>
      </c>
      <c r="B151" s="42" t="s">
        <v>23</v>
      </c>
      <c r="C151" s="50" t="str">
        <f>IF(COUNT(الرصد!C151:Y151)=0,"",SUM(الرصد!C151:Y151))</f>
        <v/>
      </c>
      <c r="D151" s="51" t="str">
        <f>IF(OR(D$2="",COUNT(الرصد!$C151:$Y151)=0),"",IFERROR(SUMIF(معالجة!$B$3:$X$3,D$2,الرصد!$C151:$Y151)/SUMIF(معالجة!$B$3:$X$3,D$2,معالجة!$B$4:$X$4),""))</f>
        <v/>
      </c>
      <c r="E151" s="51" t="str">
        <f>IF(OR(E$2="",COUNT(الرصد!$C151:$Y151)=0),"",IFERROR(SUMIF(معالجة!$B$3:$X$3,E$2,الرصد!$C151:$Y151)/SUMIF(معالجة!$B$3:$X$3,E$2,معالجة!$B$4:$X$4),""))</f>
        <v/>
      </c>
      <c r="F151" s="51" t="str">
        <f>IF(OR(F$2="",COUNT(الرصد!$C151:$Y151)=0),"",IFERROR(SUMIF(معالجة!$B$3:$X$3,F$2,الرصد!$C151:$Y151)/SUMIF(معالجة!$B$3:$X$3,F$2,معالجة!$B$4:$X$4),""))</f>
        <v/>
      </c>
      <c r="G151" s="51" t="str">
        <f>IF(OR(G$2="",COUNT(الرصد!$C151:$Y151)=0),"",IFERROR(SUMIF(معالجة!$B$3:$X$3,G$2,الرصد!$C151:$Y151)/SUMIF(معالجة!$B$3:$X$3,G$2,معالجة!$B$4:$X$4),""))</f>
        <v/>
      </c>
      <c r="H151" s="51" t="str">
        <f>IF(OR(H$2="",COUNT(الرصد!$C151:$Y151)=0),"",IFERROR(SUMIF(معالجة!$B$3:$X$3,H$2,الرصد!$C151:$Y151)/SUMIF(معالجة!$B$3:$X$3,H$2,معالجة!$B$4:$X$4),""))</f>
        <v/>
      </c>
      <c r="I151" s="51" t="str">
        <f>IF(OR(I$2="",COUNT(الرصد!$C151:$Y151)=0),"",IFERROR(SUMIF(معالجة!$B$3:$X$3,I$2,الرصد!$C151:$Y151)/SUMIF(معالجة!$B$3:$X$3,I$2,معالجة!$B$4:$X$4),""))</f>
        <v/>
      </c>
      <c r="J151" s="51" t="str">
        <f>IF(OR(J$2="",COUNT(الرصد!$C151:$Y151)=0),"",IFERROR(SUMIF(معالجة!$B$3:$X$3,J$2,الرصد!$C151:$Y151)/SUMIF(معالجة!$B$3:$X$3,J$2,معالجة!$B$4:$X$4),""))</f>
        <v/>
      </c>
      <c r="K151" s="51" t="str">
        <f>IF(OR(K$2="",COUNT(الرصد!$C151:$Y151)=0),"",IFERROR(SUMIF(معالجة!$B$3:$X$3,K$2,الرصد!$C151:$Y151)/SUMIF(معالجة!$B$3:$X$3,K$2,معالجة!$B$4:$X$4),""))</f>
        <v/>
      </c>
      <c r="L151" s="51" t="str">
        <f>IF(OR(L$2="",COUNT(الرصد!$C151:$Y151)=0),"",IFERROR(SUMIF(معالجة!$B$3:$X$3,L$2,الرصد!$C151:$Y151)/SUMIF(معالجة!$B$3:$X$3,L$2,معالجة!$B$4:$X$4),""))</f>
        <v/>
      </c>
      <c r="M151" s="51" t="str">
        <f>IF(OR(M$2="",COUNT(الرصد!$C151:$Y151)=0),"",IFERROR(SUMIF(معالجة!$B$3:$X$3,M$2,الرصد!$C151:$Y151)/SUMIF(معالجة!$B$3:$X$3,M$2,معالجة!$B$4:$X$4),""))</f>
        <v/>
      </c>
      <c r="N151" s="51" t="str">
        <f>IF(OR(N$2="",COUNT(الرصد!$C151:$Y151)=0),"",IFERROR(SUMIF(معالجة!$B$3:$X$3,N$2,الرصد!$C151:$Y151)/SUMIF(معالجة!$B$3:$X$3,N$2,معالجة!$B$4:$X$4),""))</f>
        <v/>
      </c>
      <c r="O151" s="51" t="str">
        <f>IF(OR(O$2="",COUNT(الرصد!$C151:$Y151)=0),"",IFERROR(SUMIF(معالجة!$B$3:$X$3,O$2,الرصد!$C151:$Y151)/SUMIF(معالجة!$B$3:$X$3,O$2,معالجة!$B$4:$X$4),""))</f>
        <v/>
      </c>
      <c r="P151" s="51" t="str">
        <f>IF(OR(P$2="",COUNT(الرصد!$C151:$Y151)=0),"",IFERROR(SUMIF(معالجة!$B$3:$X$3,P$2,الرصد!$C151:$Y151)/SUMIF(معالجة!$B$3:$X$3,P$2,معالجة!$B$4:$X$4),""))</f>
        <v/>
      </c>
      <c r="Q151" s="51" t="str">
        <f>IF(OR(Q$2="",COUNT(الرصد!$C151:$Y151)=0),"",IFERROR(SUMIF(معالجة!$B$3:$X$3,Q$2,الرصد!$C151:$Y151)/SUMIF(معالجة!$B$3:$X$3,Q$2,معالجة!$B$4:$X$4),""))</f>
        <v/>
      </c>
      <c r="R151" s="51" t="str">
        <f>IF(OR(R$2="",COUNT(الرصد!$C151:$Y151)=0),"",IFERROR(SUMIF(معالجة!$B$3:$X$3,R$2,الرصد!$C151:$Y151)/SUMIF(معالجة!$B$3:$X$3,R$2,معالجة!$B$4:$X$4),""))</f>
        <v/>
      </c>
      <c r="S151" s="51" t="str">
        <f>IF(OR(S$2="",COUNT(الرصد!$C151:$Y151)=0),"",IFERROR(SUMIF(معالجة!$B$3:$X$3,S$2,الرصد!$C151:$Y151)/SUMIF(معالجة!$B$3:$X$3,S$2,معالجة!$B$4:$X$4),""))</f>
        <v/>
      </c>
      <c r="T151" s="51" t="str">
        <f>IF(OR(T$2="",COUNT(الرصد!$C151:$Y151)=0),"",IFERROR(SUMIF(معالجة!$B$3:$X$3,T$2,الرصد!$C151:$Y151)/SUMIF(معالجة!$B$3:$X$3,T$2,معالجة!$B$4:$X$4),""))</f>
        <v/>
      </c>
      <c r="U151" s="51" t="str">
        <f>IF(OR(U$2="",COUNT(الرصد!$C151:$Y151)=0),"",IFERROR(SUMIF(معالجة!$B$3:$X$3,U$2,الرصد!$C151:$Y151)/SUMIF(معالجة!$B$3:$X$3,U$2,معالجة!$B$4:$X$4),""))</f>
        <v/>
      </c>
      <c r="V151" s="51" t="str">
        <f>IF(OR(V$2="",COUNT(الرصد!$C151:$Y151)=0),"",IFERROR(SUMIF(معالجة!$B$3:$X$3,V$2,الرصد!$C151:$Y151)/SUMIF(معالجة!$B$3:$X$3,V$2,معالجة!$B$4:$X$4),""))</f>
        <v/>
      </c>
      <c r="W151" s="51" t="str">
        <f>IFERROR(C151/المهارات!$G$27,"")</f>
        <v/>
      </c>
    </row>
    <row r="152" spans="1:23" ht="14.25" customHeight="1">
      <c r="A152" s="46" t="s">
        <v>221</v>
      </c>
      <c r="B152" s="46" t="s">
        <v>23</v>
      </c>
      <c r="C152" s="52" t="str">
        <f>IF(COUNT(الرصد!C152:Y152)=0,"",SUM(الرصد!C152:Y152))</f>
        <v/>
      </c>
      <c r="D152" s="51" t="str">
        <f>IF(OR(D$2="",COUNT(الرصد!$C152:$Y152)=0),"",IFERROR(SUMIF(معالجة!$B$3:$X$3,D$2,الرصد!$C152:$Y152)/SUMIF(معالجة!$B$3:$X$3,D$2,معالجة!$B$4:$X$4),""))</f>
        <v/>
      </c>
      <c r="E152" s="51" t="str">
        <f>IF(OR(E$2="",COUNT(الرصد!$C152:$Y152)=0),"",IFERROR(SUMIF(معالجة!$B$3:$X$3,E$2,الرصد!$C152:$Y152)/SUMIF(معالجة!$B$3:$X$3,E$2,معالجة!$B$4:$X$4),""))</f>
        <v/>
      </c>
      <c r="F152" s="51" t="str">
        <f>IF(OR(F$2="",COUNT(الرصد!$C152:$Y152)=0),"",IFERROR(SUMIF(معالجة!$B$3:$X$3,F$2,الرصد!$C152:$Y152)/SUMIF(معالجة!$B$3:$X$3,F$2,معالجة!$B$4:$X$4),""))</f>
        <v/>
      </c>
      <c r="G152" s="51" t="str">
        <f>IF(OR(G$2="",COUNT(الرصد!$C152:$Y152)=0),"",IFERROR(SUMIF(معالجة!$B$3:$X$3,G$2,الرصد!$C152:$Y152)/SUMIF(معالجة!$B$3:$X$3,G$2,معالجة!$B$4:$X$4),""))</f>
        <v/>
      </c>
      <c r="H152" s="51" t="str">
        <f>IF(OR(H$2="",COUNT(الرصد!$C152:$Y152)=0),"",IFERROR(SUMIF(معالجة!$B$3:$X$3,H$2,الرصد!$C152:$Y152)/SUMIF(معالجة!$B$3:$X$3,H$2,معالجة!$B$4:$X$4),""))</f>
        <v/>
      </c>
      <c r="I152" s="51" t="str">
        <f>IF(OR(I$2="",COUNT(الرصد!$C152:$Y152)=0),"",IFERROR(SUMIF(معالجة!$B$3:$X$3,I$2,الرصد!$C152:$Y152)/SUMIF(معالجة!$B$3:$X$3,I$2,معالجة!$B$4:$X$4),""))</f>
        <v/>
      </c>
      <c r="J152" s="51" t="str">
        <f>IF(OR(J$2="",COUNT(الرصد!$C152:$Y152)=0),"",IFERROR(SUMIF(معالجة!$B$3:$X$3,J$2,الرصد!$C152:$Y152)/SUMIF(معالجة!$B$3:$X$3,J$2,معالجة!$B$4:$X$4),""))</f>
        <v/>
      </c>
      <c r="K152" s="51" t="str">
        <f>IF(OR(K$2="",COUNT(الرصد!$C152:$Y152)=0),"",IFERROR(SUMIF(معالجة!$B$3:$X$3,K$2,الرصد!$C152:$Y152)/SUMIF(معالجة!$B$3:$X$3,K$2,معالجة!$B$4:$X$4),""))</f>
        <v/>
      </c>
      <c r="L152" s="51" t="str">
        <f>IF(OR(L$2="",COUNT(الرصد!$C152:$Y152)=0),"",IFERROR(SUMIF(معالجة!$B$3:$X$3,L$2,الرصد!$C152:$Y152)/SUMIF(معالجة!$B$3:$X$3,L$2,معالجة!$B$4:$X$4),""))</f>
        <v/>
      </c>
      <c r="M152" s="51" t="str">
        <f>IF(OR(M$2="",COUNT(الرصد!$C152:$Y152)=0),"",IFERROR(SUMIF(معالجة!$B$3:$X$3,M$2,الرصد!$C152:$Y152)/SUMIF(معالجة!$B$3:$X$3,M$2,معالجة!$B$4:$X$4),""))</f>
        <v/>
      </c>
      <c r="N152" s="51" t="str">
        <f>IF(OR(N$2="",COUNT(الرصد!$C152:$Y152)=0),"",IFERROR(SUMIF(معالجة!$B$3:$X$3,N$2,الرصد!$C152:$Y152)/SUMIF(معالجة!$B$3:$X$3,N$2,معالجة!$B$4:$X$4),""))</f>
        <v/>
      </c>
      <c r="O152" s="51" t="str">
        <f>IF(OR(O$2="",COUNT(الرصد!$C152:$Y152)=0),"",IFERROR(SUMIF(معالجة!$B$3:$X$3,O$2,الرصد!$C152:$Y152)/SUMIF(معالجة!$B$3:$X$3,O$2,معالجة!$B$4:$X$4),""))</f>
        <v/>
      </c>
      <c r="P152" s="51" t="str">
        <f>IF(OR(P$2="",COUNT(الرصد!$C152:$Y152)=0),"",IFERROR(SUMIF(معالجة!$B$3:$X$3,P$2,الرصد!$C152:$Y152)/SUMIF(معالجة!$B$3:$X$3,P$2,معالجة!$B$4:$X$4),""))</f>
        <v/>
      </c>
      <c r="Q152" s="51" t="str">
        <f>IF(OR(Q$2="",COUNT(الرصد!$C152:$Y152)=0),"",IFERROR(SUMIF(معالجة!$B$3:$X$3,Q$2,الرصد!$C152:$Y152)/SUMIF(معالجة!$B$3:$X$3,Q$2,معالجة!$B$4:$X$4),""))</f>
        <v/>
      </c>
      <c r="R152" s="51" t="str">
        <f>IF(OR(R$2="",COUNT(الرصد!$C152:$Y152)=0),"",IFERROR(SUMIF(معالجة!$B$3:$X$3,R$2,الرصد!$C152:$Y152)/SUMIF(معالجة!$B$3:$X$3,R$2,معالجة!$B$4:$X$4),""))</f>
        <v/>
      </c>
      <c r="S152" s="51" t="str">
        <f>IF(OR(S$2="",COUNT(الرصد!$C152:$Y152)=0),"",IFERROR(SUMIF(معالجة!$B$3:$X$3,S$2,الرصد!$C152:$Y152)/SUMIF(معالجة!$B$3:$X$3,S$2,معالجة!$B$4:$X$4),""))</f>
        <v/>
      </c>
      <c r="T152" s="51" t="str">
        <f>IF(OR(T$2="",COUNT(الرصد!$C152:$Y152)=0),"",IFERROR(SUMIF(معالجة!$B$3:$X$3,T$2,الرصد!$C152:$Y152)/SUMIF(معالجة!$B$3:$X$3,T$2,معالجة!$B$4:$X$4),""))</f>
        <v/>
      </c>
      <c r="U152" s="51" t="str">
        <f>IF(OR(U$2="",COUNT(الرصد!$C152:$Y152)=0),"",IFERROR(SUMIF(معالجة!$B$3:$X$3,U$2,الرصد!$C152:$Y152)/SUMIF(معالجة!$B$3:$X$3,U$2,معالجة!$B$4:$X$4),""))</f>
        <v/>
      </c>
      <c r="V152" s="51" t="str">
        <f>IF(OR(V$2="",COUNT(الرصد!$C152:$Y152)=0),"",IFERROR(SUMIF(معالجة!$B$3:$X$3,V$2,الرصد!$C152:$Y152)/SUMIF(معالجة!$B$3:$X$3,V$2,معالجة!$B$4:$X$4),""))</f>
        <v/>
      </c>
      <c r="W152" s="51" t="str">
        <f>IFERROR(C152/المهارات!$G$27,"")</f>
        <v/>
      </c>
    </row>
    <row r="153" spans="1:23" ht="14.25" customHeight="1">
      <c r="A153" s="42" t="s">
        <v>222</v>
      </c>
      <c r="B153" s="42" t="s">
        <v>24</v>
      </c>
      <c r="C153" s="50" t="str">
        <f>IF(COUNT(الرصد!C153:Y153)=0,"",SUM(الرصد!C153:Y153))</f>
        <v/>
      </c>
      <c r="D153" s="51" t="str">
        <f>IF(OR(D$2="",COUNT(الرصد!$C153:$Y153)=0),"",IFERROR(SUMIF(معالجة!$B$3:$X$3,D$2,الرصد!$C153:$Y153)/SUMIF(معالجة!$B$3:$X$3,D$2,معالجة!$B$4:$X$4),""))</f>
        <v/>
      </c>
      <c r="E153" s="51" t="str">
        <f>IF(OR(E$2="",COUNT(الرصد!$C153:$Y153)=0),"",IFERROR(SUMIF(معالجة!$B$3:$X$3,E$2,الرصد!$C153:$Y153)/SUMIF(معالجة!$B$3:$X$3,E$2,معالجة!$B$4:$X$4),""))</f>
        <v/>
      </c>
      <c r="F153" s="51" t="str">
        <f>IF(OR(F$2="",COUNT(الرصد!$C153:$Y153)=0),"",IFERROR(SUMIF(معالجة!$B$3:$X$3,F$2,الرصد!$C153:$Y153)/SUMIF(معالجة!$B$3:$X$3,F$2,معالجة!$B$4:$X$4),""))</f>
        <v/>
      </c>
      <c r="G153" s="51" t="str">
        <f>IF(OR(G$2="",COUNT(الرصد!$C153:$Y153)=0),"",IFERROR(SUMIF(معالجة!$B$3:$X$3,G$2,الرصد!$C153:$Y153)/SUMIF(معالجة!$B$3:$X$3,G$2,معالجة!$B$4:$X$4),""))</f>
        <v/>
      </c>
      <c r="H153" s="51" t="str">
        <f>IF(OR(H$2="",COUNT(الرصد!$C153:$Y153)=0),"",IFERROR(SUMIF(معالجة!$B$3:$X$3,H$2,الرصد!$C153:$Y153)/SUMIF(معالجة!$B$3:$X$3,H$2,معالجة!$B$4:$X$4),""))</f>
        <v/>
      </c>
      <c r="I153" s="51" t="str">
        <f>IF(OR(I$2="",COUNT(الرصد!$C153:$Y153)=0),"",IFERROR(SUMIF(معالجة!$B$3:$X$3,I$2,الرصد!$C153:$Y153)/SUMIF(معالجة!$B$3:$X$3,I$2,معالجة!$B$4:$X$4),""))</f>
        <v/>
      </c>
      <c r="J153" s="51" t="str">
        <f>IF(OR(J$2="",COUNT(الرصد!$C153:$Y153)=0),"",IFERROR(SUMIF(معالجة!$B$3:$X$3,J$2,الرصد!$C153:$Y153)/SUMIF(معالجة!$B$3:$X$3,J$2,معالجة!$B$4:$X$4),""))</f>
        <v/>
      </c>
      <c r="K153" s="51" t="str">
        <f>IF(OR(K$2="",COUNT(الرصد!$C153:$Y153)=0),"",IFERROR(SUMIF(معالجة!$B$3:$X$3,K$2,الرصد!$C153:$Y153)/SUMIF(معالجة!$B$3:$X$3,K$2,معالجة!$B$4:$X$4),""))</f>
        <v/>
      </c>
      <c r="L153" s="51" t="str">
        <f>IF(OR(L$2="",COUNT(الرصد!$C153:$Y153)=0),"",IFERROR(SUMIF(معالجة!$B$3:$X$3,L$2,الرصد!$C153:$Y153)/SUMIF(معالجة!$B$3:$X$3,L$2,معالجة!$B$4:$X$4),""))</f>
        <v/>
      </c>
      <c r="M153" s="51" t="str">
        <f>IF(OR(M$2="",COUNT(الرصد!$C153:$Y153)=0),"",IFERROR(SUMIF(معالجة!$B$3:$X$3,M$2,الرصد!$C153:$Y153)/SUMIF(معالجة!$B$3:$X$3,M$2,معالجة!$B$4:$X$4),""))</f>
        <v/>
      </c>
      <c r="N153" s="51" t="str">
        <f>IF(OR(N$2="",COUNT(الرصد!$C153:$Y153)=0),"",IFERROR(SUMIF(معالجة!$B$3:$X$3,N$2,الرصد!$C153:$Y153)/SUMIF(معالجة!$B$3:$X$3,N$2,معالجة!$B$4:$X$4),""))</f>
        <v/>
      </c>
      <c r="O153" s="51" t="str">
        <f>IF(OR(O$2="",COUNT(الرصد!$C153:$Y153)=0),"",IFERROR(SUMIF(معالجة!$B$3:$X$3,O$2,الرصد!$C153:$Y153)/SUMIF(معالجة!$B$3:$X$3,O$2,معالجة!$B$4:$X$4),""))</f>
        <v/>
      </c>
      <c r="P153" s="51" t="str">
        <f>IF(OR(P$2="",COUNT(الرصد!$C153:$Y153)=0),"",IFERROR(SUMIF(معالجة!$B$3:$X$3,P$2,الرصد!$C153:$Y153)/SUMIF(معالجة!$B$3:$X$3,P$2,معالجة!$B$4:$X$4),""))</f>
        <v/>
      </c>
      <c r="Q153" s="51" t="str">
        <f>IF(OR(Q$2="",COUNT(الرصد!$C153:$Y153)=0),"",IFERROR(SUMIF(معالجة!$B$3:$X$3,Q$2,الرصد!$C153:$Y153)/SUMIF(معالجة!$B$3:$X$3,Q$2,معالجة!$B$4:$X$4),""))</f>
        <v/>
      </c>
      <c r="R153" s="51" t="str">
        <f>IF(OR(R$2="",COUNT(الرصد!$C153:$Y153)=0),"",IFERROR(SUMIF(معالجة!$B$3:$X$3,R$2,الرصد!$C153:$Y153)/SUMIF(معالجة!$B$3:$X$3,R$2,معالجة!$B$4:$X$4),""))</f>
        <v/>
      </c>
      <c r="S153" s="51" t="str">
        <f>IF(OR(S$2="",COUNT(الرصد!$C153:$Y153)=0),"",IFERROR(SUMIF(معالجة!$B$3:$X$3,S$2,الرصد!$C153:$Y153)/SUMIF(معالجة!$B$3:$X$3,S$2,معالجة!$B$4:$X$4),""))</f>
        <v/>
      </c>
      <c r="T153" s="51" t="str">
        <f>IF(OR(T$2="",COUNT(الرصد!$C153:$Y153)=0),"",IFERROR(SUMIF(معالجة!$B$3:$X$3,T$2,الرصد!$C153:$Y153)/SUMIF(معالجة!$B$3:$X$3,T$2,معالجة!$B$4:$X$4),""))</f>
        <v/>
      </c>
      <c r="U153" s="51" t="str">
        <f>IF(OR(U$2="",COUNT(الرصد!$C153:$Y153)=0),"",IFERROR(SUMIF(معالجة!$B$3:$X$3,U$2,الرصد!$C153:$Y153)/SUMIF(معالجة!$B$3:$X$3,U$2,معالجة!$B$4:$X$4),""))</f>
        <v/>
      </c>
      <c r="V153" s="51" t="str">
        <f>IF(OR(V$2="",COUNT(الرصد!$C153:$Y153)=0),"",IFERROR(SUMIF(معالجة!$B$3:$X$3,V$2,الرصد!$C153:$Y153)/SUMIF(معالجة!$B$3:$X$3,V$2,معالجة!$B$4:$X$4),""))</f>
        <v/>
      </c>
      <c r="W153" s="51" t="str">
        <f>IFERROR(C153/المهارات!$G$27,"")</f>
        <v/>
      </c>
    </row>
    <row r="154" spans="1:23" ht="14.25" customHeight="1">
      <c r="A154" s="46" t="s">
        <v>223</v>
      </c>
      <c r="B154" s="46" t="s">
        <v>24</v>
      </c>
      <c r="C154" s="52" t="str">
        <f>IF(COUNT(الرصد!C154:Y154)=0,"",SUM(الرصد!C154:Y154))</f>
        <v/>
      </c>
      <c r="D154" s="51" t="str">
        <f>IF(OR(D$2="",COUNT(الرصد!$C154:$Y154)=0),"",IFERROR(SUMIF(معالجة!$B$3:$X$3,D$2,الرصد!$C154:$Y154)/SUMIF(معالجة!$B$3:$X$3,D$2,معالجة!$B$4:$X$4),""))</f>
        <v/>
      </c>
      <c r="E154" s="51" t="str">
        <f>IF(OR(E$2="",COUNT(الرصد!$C154:$Y154)=0),"",IFERROR(SUMIF(معالجة!$B$3:$X$3,E$2,الرصد!$C154:$Y154)/SUMIF(معالجة!$B$3:$X$3,E$2,معالجة!$B$4:$X$4),""))</f>
        <v/>
      </c>
      <c r="F154" s="51" t="str">
        <f>IF(OR(F$2="",COUNT(الرصد!$C154:$Y154)=0),"",IFERROR(SUMIF(معالجة!$B$3:$X$3,F$2,الرصد!$C154:$Y154)/SUMIF(معالجة!$B$3:$X$3,F$2,معالجة!$B$4:$X$4),""))</f>
        <v/>
      </c>
      <c r="G154" s="51" t="str">
        <f>IF(OR(G$2="",COUNT(الرصد!$C154:$Y154)=0),"",IFERROR(SUMIF(معالجة!$B$3:$X$3,G$2,الرصد!$C154:$Y154)/SUMIF(معالجة!$B$3:$X$3,G$2,معالجة!$B$4:$X$4),""))</f>
        <v/>
      </c>
      <c r="H154" s="51" t="str">
        <f>IF(OR(H$2="",COUNT(الرصد!$C154:$Y154)=0),"",IFERROR(SUMIF(معالجة!$B$3:$X$3,H$2,الرصد!$C154:$Y154)/SUMIF(معالجة!$B$3:$X$3,H$2,معالجة!$B$4:$X$4),""))</f>
        <v/>
      </c>
      <c r="I154" s="51" t="str">
        <f>IF(OR(I$2="",COUNT(الرصد!$C154:$Y154)=0),"",IFERROR(SUMIF(معالجة!$B$3:$X$3,I$2,الرصد!$C154:$Y154)/SUMIF(معالجة!$B$3:$X$3,I$2,معالجة!$B$4:$X$4),""))</f>
        <v/>
      </c>
      <c r="J154" s="51" t="str">
        <f>IF(OR(J$2="",COUNT(الرصد!$C154:$Y154)=0),"",IFERROR(SUMIF(معالجة!$B$3:$X$3,J$2,الرصد!$C154:$Y154)/SUMIF(معالجة!$B$3:$X$3,J$2,معالجة!$B$4:$X$4),""))</f>
        <v/>
      </c>
      <c r="K154" s="51" t="str">
        <f>IF(OR(K$2="",COUNT(الرصد!$C154:$Y154)=0),"",IFERROR(SUMIF(معالجة!$B$3:$X$3,K$2,الرصد!$C154:$Y154)/SUMIF(معالجة!$B$3:$X$3,K$2,معالجة!$B$4:$X$4),""))</f>
        <v/>
      </c>
      <c r="L154" s="51" t="str">
        <f>IF(OR(L$2="",COUNT(الرصد!$C154:$Y154)=0),"",IFERROR(SUMIF(معالجة!$B$3:$X$3,L$2,الرصد!$C154:$Y154)/SUMIF(معالجة!$B$3:$X$3,L$2,معالجة!$B$4:$X$4),""))</f>
        <v/>
      </c>
      <c r="M154" s="51" t="str">
        <f>IF(OR(M$2="",COUNT(الرصد!$C154:$Y154)=0),"",IFERROR(SUMIF(معالجة!$B$3:$X$3,M$2,الرصد!$C154:$Y154)/SUMIF(معالجة!$B$3:$X$3,M$2,معالجة!$B$4:$X$4),""))</f>
        <v/>
      </c>
      <c r="N154" s="51" t="str">
        <f>IF(OR(N$2="",COUNT(الرصد!$C154:$Y154)=0),"",IFERROR(SUMIF(معالجة!$B$3:$X$3,N$2,الرصد!$C154:$Y154)/SUMIF(معالجة!$B$3:$X$3,N$2,معالجة!$B$4:$X$4),""))</f>
        <v/>
      </c>
      <c r="O154" s="51" t="str">
        <f>IF(OR(O$2="",COUNT(الرصد!$C154:$Y154)=0),"",IFERROR(SUMIF(معالجة!$B$3:$X$3,O$2,الرصد!$C154:$Y154)/SUMIF(معالجة!$B$3:$X$3,O$2,معالجة!$B$4:$X$4),""))</f>
        <v/>
      </c>
      <c r="P154" s="51" t="str">
        <f>IF(OR(P$2="",COUNT(الرصد!$C154:$Y154)=0),"",IFERROR(SUMIF(معالجة!$B$3:$X$3,P$2,الرصد!$C154:$Y154)/SUMIF(معالجة!$B$3:$X$3,P$2,معالجة!$B$4:$X$4),""))</f>
        <v/>
      </c>
      <c r="Q154" s="51" t="str">
        <f>IF(OR(Q$2="",COUNT(الرصد!$C154:$Y154)=0),"",IFERROR(SUMIF(معالجة!$B$3:$X$3,Q$2,الرصد!$C154:$Y154)/SUMIF(معالجة!$B$3:$X$3,Q$2,معالجة!$B$4:$X$4),""))</f>
        <v/>
      </c>
      <c r="R154" s="51" t="str">
        <f>IF(OR(R$2="",COUNT(الرصد!$C154:$Y154)=0),"",IFERROR(SUMIF(معالجة!$B$3:$X$3,R$2,الرصد!$C154:$Y154)/SUMIF(معالجة!$B$3:$X$3,R$2,معالجة!$B$4:$X$4),""))</f>
        <v/>
      </c>
      <c r="S154" s="51" t="str">
        <f>IF(OR(S$2="",COUNT(الرصد!$C154:$Y154)=0),"",IFERROR(SUMIF(معالجة!$B$3:$X$3,S$2,الرصد!$C154:$Y154)/SUMIF(معالجة!$B$3:$X$3,S$2,معالجة!$B$4:$X$4),""))</f>
        <v/>
      </c>
      <c r="T154" s="51" t="str">
        <f>IF(OR(T$2="",COUNT(الرصد!$C154:$Y154)=0),"",IFERROR(SUMIF(معالجة!$B$3:$X$3,T$2,الرصد!$C154:$Y154)/SUMIF(معالجة!$B$3:$X$3,T$2,معالجة!$B$4:$X$4),""))</f>
        <v/>
      </c>
      <c r="U154" s="51" t="str">
        <f>IF(OR(U$2="",COUNT(الرصد!$C154:$Y154)=0),"",IFERROR(SUMIF(معالجة!$B$3:$X$3,U$2,الرصد!$C154:$Y154)/SUMIF(معالجة!$B$3:$X$3,U$2,معالجة!$B$4:$X$4),""))</f>
        <v/>
      </c>
      <c r="V154" s="51" t="str">
        <f>IF(OR(V$2="",COUNT(الرصد!$C154:$Y154)=0),"",IFERROR(SUMIF(معالجة!$B$3:$X$3,V$2,الرصد!$C154:$Y154)/SUMIF(معالجة!$B$3:$X$3,V$2,معالجة!$B$4:$X$4),""))</f>
        <v/>
      </c>
      <c r="W154" s="51" t="str">
        <f>IFERROR(C154/المهارات!$G$27,"")</f>
        <v/>
      </c>
    </row>
    <row r="155" spans="1:23" ht="14.25" customHeight="1">
      <c r="A155" s="42" t="s">
        <v>224</v>
      </c>
      <c r="B155" s="42" t="s">
        <v>24</v>
      </c>
      <c r="C155" s="50" t="str">
        <f>IF(COUNT(الرصد!C155:Y155)=0,"",SUM(الرصد!C155:Y155))</f>
        <v/>
      </c>
      <c r="D155" s="51" t="str">
        <f>IF(OR(D$2="",COUNT(الرصد!$C155:$Y155)=0),"",IFERROR(SUMIF(معالجة!$B$3:$X$3,D$2,الرصد!$C155:$Y155)/SUMIF(معالجة!$B$3:$X$3,D$2,معالجة!$B$4:$X$4),""))</f>
        <v/>
      </c>
      <c r="E155" s="51" t="str">
        <f>IF(OR(E$2="",COUNT(الرصد!$C155:$Y155)=0),"",IFERROR(SUMIF(معالجة!$B$3:$X$3,E$2,الرصد!$C155:$Y155)/SUMIF(معالجة!$B$3:$X$3,E$2,معالجة!$B$4:$X$4),""))</f>
        <v/>
      </c>
      <c r="F155" s="51" t="str">
        <f>IF(OR(F$2="",COUNT(الرصد!$C155:$Y155)=0),"",IFERROR(SUMIF(معالجة!$B$3:$X$3,F$2,الرصد!$C155:$Y155)/SUMIF(معالجة!$B$3:$X$3,F$2,معالجة!$B$4:$X$4),""))</f>
        <v/>
      </c>
      <c r="G155" s="51" t="str">
        <f>IF(OR(G$2="",COUNT(الرصد!$C155:$Y155)=0),"",IFERROR(SUMIF(معالجة!$B$3:$X$3,G$2,الرصد!$C155:$Y155)/SUMIF(معالجة!$B$3:$X$3,G$2,معالجة!$B$4:$X$4),""))</f>
        <v/>
      </c>
      <c r="H155" s="51" t="str">
        <f>IF(OR(H$2="",COUNT(الرصد!$C155:$Y155)=0),"",IFERROR(SUMIF(معالجة!$B$3:$X$3,H$2,الرصد!$C155:$Y155)/SUMIF(معالجة!$B$3:$X$3,H$2,معالجة!$B$4:$X$4),""))</f>
        <v/>
      </c>
      <c r="I155" s="51" t="str">
        <f>IF(OR(I$2="",COUNT(الرصد!$C155:$Y155)=0),"",IFERROR(SUMIF(معالجة!$B$3:$X$3,I$2,الرصد!$C155:$Y155)/SUMIF(معالجة!$B$3:$X$3,I$2,معالجة!$B$4:$X$4),""))</f>
        <v/>
      </c>
      <c r="J155" s="51" t="str">
        <f>IF(OR(J$2="",COUNT(الرصد!$C155:$Y155)=0),"",IFERROR(SUMIF(معالجة!$B$3:$X$3,J$2,الرصد!$C155:$Y155)/SUMIF(معالجة!$B$3:$X$3,J$2,معالجة!$B$4:$X$4),""))</f>
        <v/>
      </c>
      <c r="K155" s="51" t="str">
        <f>IF(OR(K$2="",COUNT(الرصد!$C155:$Y155)=0),"",IFERROR(SUMIF(معالجة!$B$3:$X$3,K$2,الرصد!$C155:$Y155)/SUMIF(معالجة!$B$3:$X$3,K$2,معالجة!$B$4:$X$4),""))</f>
        <v/>
      </c>
      <c r="L155" s="51" t="str">
        <f>IF(OR(L$2="",COUNT(الرصد!$C155:$Y155)=0),"",IFERROR(SUMIF(معالجة!$B$3:$X$3,L$2,الرصد!$C155:$Y155)/SUMIF(معالجة!$B$3:$X$3,L$2,معالجة!$B$4:$X$4),""))</f>
        <v/>
      </c>
      <c r="M155" s="51" t="str">
        <f>IF(OR(M$2="",COUNT(الرصد!$C155:$Y155)=0),"",IFERROR(SUMIF(معالجة!$B$3:$X$3,M$2,الرصد!$C155:$Y155)/SUMIF(معالجة!$B$3:$X$3,M$2,معالجة!$B$4:$X$4),""))</f>
        <v/>
      </c>
      <c r="N155" s="51" t="str">
        <f>IF(OR(N$2="",COUNT(الرصد!$C155:$Y155)=0),"",IFERROR(SUMIF(معالجة!$B$3:$X$3,N$2,الرصد!$C155:$Y155)/SUMIF(معالجة!$B$3:$X$3,N$2,معالجة!$B$4:$X$4),""))</f>
        <v/>
      </c>
      <c r="O155" s="51" t="str">
        <f>IF(OR(O$2="",COUNT(الرصد!$C155:$Y155)=0),"",IFERROR(SUMIF(معالجة!$B$3:$X$3,O$2,الرصد!$C155:$Y155)/SUMIF(معالجة!$B$3:$X$3,O$2,معالجة!$B$4:$X$4),""))</f>
        <v/>
      </c>
      <c r="P155" s="51" t="str">
        <f>IF(OR(P$2="",COUNT(الرصد!$C155:$Y155)=0),"",IFERROR(SUMIF(معالجة!$B$3:$X$3,P$2,الرصد!$C155:$Y155)/SUMIF(معالجة!$B$3:$X$3,P$2,معالجة!$B$4:$X$4),""))</f>
        <v/>
      </c>
      <c r="Q155" s="51" t="str">
        <f>IF(OR(Q$2="",COUNT(الرصد!$C155:$Y155)=0),"",IFERROR(SUMIF(معالجة!$B$3:$X$3,Q$2,الرصد!$C155:$Y155)/SUMIF(معالجة!$B$3:$X$3,Q$2,معالجة!$B$4:$X$4),""))</f>
        <v/>
      </c>
      <c r="R155" s="51" t="str">
        <f>IF(OR(R$2="",COUNT(الرصد!$C155:$Y155)=0),"",IFERROR(SUMIF(معالجة!$B$3:$X$3,R$2,الرصد!$C155:$Y155)/SUMIF(معالجة!$B$3:$X$3,R$2,معالجة!$B$4:$X$4),""))</f>
        <v/>
      </c>
      <c r="S155" s="51" t="str">
        <f>IF(OR(S$2="",COUNT(الرصد!$C155:$Y155)=0),"",IFERROR(SUMIF(معالجة!$B$3:$X$3,S$2,الرصد!$C155:$Y155)/SUMIF(معالجة!$B$3:$X$3,S$2,معالجة!$B$4:$X$4),""))</f>
        <v/>
      </c>
      <c r="T155" s="51" t="str">
        <f>IF(OR(T$2="",COUNT(الرصد!$C155:$Y155)=0),"",IFERROR(SUMIF(معالجة!$B$3:$X$3,T$2,الرصد!$C155:$Y155)/SUMIF(معالجة!$B$3:$X$3,T$2,معالجة!$B$4:$X$4),""))</f>
        <v/>
      </c>
      <c r="U155" s="51" t="str">
        <f>IF(OR(U$2="",COUNT(الرصد!$C155:$Y155)=0),"",IFERROR(SUMIF(معالجة!$B$3:$X$3,U$2,الرصد!$C155:$Y155)/SUMIF(معالجة!$B$3:$X$3,U$2,معالجة!$B$4:$X$4),""))</f>
        <v/>
      </c>
      <c r="V155" s="51" t="str">
        <f>IF(OR(V$2="",COUNT(الرصد!$C155:$Y155)=0),"",IFERROR(SUMIF(معالجة!$B$3:$X$3,V$2,الرصد!$C155:$Y155)/SUMIF(معالجة!$B$3:$X$3,V$2,معالجة!$B$4:$X$4),""))</f>
        <v/>
      </c>
      <c r="W155" s="51" t="str">
        <f>IFERROR(C155/المهارات!$G$27,"")</f>
        <v/>
      </c>
    </row>
    <row r="156" spans="1:23" ht="14.25" customHeight="1">
      <c r="A156" s="46" t="s">
        <v>225</v>
      </c>
      <c r="B156" s="46" t="s">
        <v>24</v>
      </c>
      <c r="C156" s="52" t="str">
        <f>IF(COUNT(الرصد!C156:Y156)=0,"",SUM(الرصد!C156:Y156))</f>
        <v/>
      </c>
      <c r="D156" s="51" t="str">
        <f>IF(OR(D$2="",COUNT(الرصد!$C156:$Y156)=0),"",IFERROR(SUMIF(معالجة!$B$3:$X$3,D$2,الرصد!$C156:$Y156)/SUMIF(معالجة!$B$3:$X$3,D$2,معالجة!$B$4:$X$4),""))</f>
        <v/>
      </c>
      <c r="E156" s="51" t="str">
        <f>IF(OR(E$2="",COUNT(الرصد!$C156:$Y156)=0),"",IFERROR(SUMIF(معالجة!$B$3:$X$3,E$2,الرصد!$C156:$Y156)/SUMIF(معالجة!$B$3:$X$3,E$2,معالجة!$B$4:$X$4),""))</f>
        <v/>
      </c>
      <c r="F156" s="51" t="str">
        <f>IF(OR(F$2="",COUNT(الرصد!$C156:$Y156)=0),"",IFERROR(SUMIF(معالجة!$B$3:$X$3,F$2,الرصد!$C156:$Y156)/SUMIF(معالجة!$B$3:$X$3,F$2,معالجة!$B$4:$X$4),""))</f>
        <v/>
      </c>
      <c r="G156" s="51" t="str">
        <f>IF(OR(G$2="",COUNT(الرصد!$C156:$Y156)=0),"",IFERROR(SUMIF(معالجة!$B$3:$X$3,G$2,الرصد!$C156:$Y156)/SUMIF(معالجة!$B$3:$X$3,G$2,معالجة!$B$4:$X$4),""))</f>
        <v/>
      </c>
      <c r="H156" s="51" t="str">
        <f>IF(OR(H$2="",COUNT(الرصد!$C156:$Y156)=0),"",IFERROR(SUMIF(معالجة!$B$3:$X$3,H$2,الرصد!$C156:$Y156)/SUMIF(معالجة!$B$3:$X$3,H$2,معالجة!$B$4:$X$4),""))</f>
        <v/>
      </c>
      <c r="I156" s="51" t="str">
        <f>IF(OR(I$2="",COUNT(الرصد!$C156:$Y156)=0),"",IFERROR(SUMIF(معالجة!$B$3:$X$3,I$2,الرصد!$C156:$Y156)/SUMIF(معالجة!$B$3:$X$3,I$2,معالجة!$B$4:$X$4),""))</f>
        <v/>
      </c>
      <c r="J156" s="51" t="str">
        <f>IF(OR(J$2="",COUNT(الرصد!$C156:$Y156)=0),"",IFERROR(SUMIF(معالجة!$B$3:$X$3,J$2,الرصد!$C156:$Y156)/SUMIF(معالجة!$B$3:$X$3,J$2,معالجة!$B$4:$X$4),""))</f>
        <v/>
      </c>
      <c r="K156" s="51" t="str">
        <f>IF(OR(K$2="",COUNT(الرصد!$C156:$Y156)=0),"",IFERROR(SUMIF(معالجة!$B$3:$X$3,K$2,الرصد!$C156:$Y156)/SUMIF(معالجة!$B$3:$X$3,K$2,معالجة!$B$4:$X$4),""))</f>
        <v/>
      </c>
      <c r="L156" s="51" t="str">
        <f>IF(OR(L$2="",COUNT(الرصد!$C156:$Y156)=0),"",IFERROR(SUMIF(معالجة!$B$3:$X$3,L$2,الرصد!$C156:$Y156)/SUMIF(معالجة!$B$3:$X$3,L$2,معالجة!$B$4:$X$4),""))</f>
        <v/>
      </c>
      <c r="M156" s="51" t="str">
        <f>IF(OR(M$2="",COUNT(الرصد!$C156:$Y156)=0),"",IFERROR(SUMIF(معالجة!$B$3:$X$3,M$2,الرصد!$C156:$Y156)/SUMIF(معالجة!$B$3:$X$3,M$2,معالجة!$B$4:$X$4),""))</f>
        <v/>
      </c>
      <c r="N156" s="51" t="str">
        <f>IF(OR(N$2="",COUNT(الرصد!$C156:$Y156)=0),"",IFERROR(SUMIF(معالجة!$B$3:$X$3,N$2,الرصد!$C156:$Y156)/SUMIF(معالجة!$B$3:$X$3,N$2,معالجة!$B$4:$X$4),""))</f>
        <v/>
      </c>
      <c r="O156" s="51" t="str">
        <f>IF(OR(O$2="",COUNT(الرصد!$C156:$Y156)=0),"",IFERROR(SUMIF(معالجة!$B$3:$X$3,O$2,الرصد!$C156:$Y156)/SUMIF(معالجة!$B$3:$X$3,O$2,معالجة!$B$4:$X$4),""))</f>
        <v/>
      </c>
      <c r="P156" s="51" t="str">
        <f>IF(OR(P$2="",COUNT(الرصد!$C156:$Y156)=0),"",IFERROR(SUMIF(معالجة!$B$3:$X$3,P$2,الرصد!$C156:$Y156)/SUMIF(معالجة!$B$3:$X$3,P$2,معالجة!$B$4:$X$4),""))</f>
        <v/>
      </c>
      <c r="Q156" s="51" t="str">
        <f>IF(OR(Q$2="",COUNT(الرصد!$C156:$Y156)=0),"",IFERROR(SUMIF(معالجة!$B$3:$X$3,Q$2,الرصد!$C156:$Y156)/SUMIF(معالجة!$B$3:$X$3,Q$2,معالجة!$B$4:$X$4),""))</f>
        <v/>
      </c>
      <c r="R156" s="51" t="str">
        <f>IF(OR(R$2="",COUNT(الرصد!$C156:$Y156)=0),"",IFERROR(SUMIF(معالجة!$B$3:$X$3,R$2,الرصد!$C156:$Y156)/SUMIF(معالجة!$B$3:$X$3,R$2,معالجة!$B$4:$X$4),""))</f>
        <v/>
      </c>
      <c r="S156" s="51" t="str">
        <f>IF(OR(S$2="",COUNT(الرصد!$C156:$Y156)=0),"",IFERROR(SUMIF(معالجة!$B$3:$X$3,S$2,الرصد!$C156:$Y156)/SUMIF(معالجة!$B$3:$X$3,S$2,معالجة!$B$4:$X$4),""))</f>
        <v/>
      </c>
      <c r="T156" s="51" t="str">
        <f>IF(OR(T$2="",COUNT(الرصد!$C156:$Y156)=0),"",IFERROR(SUMIF(معالجة!$B$3:$X$3,T$2,الرصد!$C156:$Y156)/SUMIF(معالجة!$B$3:$X$3,T$2,معالجة!$B$4:$X$4),""))</f>
        <v/>
      </c>
      <c r="U156" s="51" t="str">
        <f>IF(OR(U$2="",COUNT(الرصد!$C156:$Y156)=0),"",IFERROR(SUMIF(معالجة!$B$3:$X$3,U$2,الرصد!$C156:$Y156)/SUMIF(معالجة!$B$3:$X$3,U$2,معالجة!$B$4:$X$4),""))</f>
        <v/>
      </c>
      <c r="V156" s="51" t="str">
        <f>IF(OR(V$2="",COUNT(الرصد!$C156:$Y156)=0),"",IFERROR(SUMIF(معالجة!$B$3:$X$3,V$2,الرصد!$C156:$Y156)/SUMIF(معالجة!$B$3:$X$3,V$2,معالجة!$B$4:$X$4),""))</f>
        <v/>
      </c>
      <c r="W156" s="51" t="str">
        <f>IFERROR(C156/المهارات!$G$27,"")</f>
        <v/>
      </c>
    </row>
    <row r="157" spans="1:23" ht="14.25" customHeight="1">
      <c r="A157" s="42" t="s">
        <v>226</v>
      </c>
      <c r="B157" s="42" t="s">
        <v>24</v>
      </c>
      <c r="C157" s="50" t="str">
        <f>IF(COUNT(الرصد!C157:Y157)=0,"",SUM(الرصد!C157:Y157))</f>
        <v/>
      </c>
      <c r="D157" s="51" t="str">
        <f>IF(OR(D$2="",COUNT(الرصد!$C157:$Y157)=0),"",IFERROR(SUMIF(معالجة!$B$3:$X$3,D$2,الرصد!$C157:$Y157)/SUMIF(معالجة!$B$3:$X$3,D$2,معالجة!$B$4:$X$4),""))</f>
        <v/>
      </c>
      <c r="E157" s="51" t="str">
        <f>IF(OR(E$2="",COUNT(الرصد!$C157:$Y157)=0),"",IFERROR(SUMIF(معالجة!$B$3:$X$3,E$2,الرصد!$C157:$Y157)/SUMIF(معالجة!$B$3:$X$3,E$2,معالجة!$B$4:$X$4),""))</f>
        <v/>
      </c>
      <c r="F157" s="51" t="str">
        <f>IF(OR(F$2="",COUNT(الرصد!$C157:$Y157)=0),"",IFERROR(SUMIF(معالجة!$B$3:$X$3,F$2,الرصد!$C157:$Y157)/SUMIF(معالجة!$B$3:$X$3,F$2,معالجة!$B$4:$X$4),""))</f>
        <v/>
      </c>
      <c r="G157" s="51" t="str">
        <f>IF(OR(G$2="",COUNT(الرصد!$C157:$Y157)=0),"",IFERROR(SUMIF(معالجة!$B$3:$X$3,G$2,الرصد!$C157:$Y157)/SUMIF(معالجة!$B$3:$X$3,G$2,معالجة!$B$4:$X$4),""))</f>
        <v/>
      </c>
      <c r="H157" s="51" t="str">
        <f>IF(OR(H$2="",COUNT(الرصد!$C157:$Y157)=0),"",IFERROR(SUMIF(معالجة!$B$3:$X$3,H$2,الرصد!$C157:$Y157)/SUMIF(معالجة!$B$3:$X$3,H$2,معالجة!$B$4:$X$4),""))</f>
        <v/>
      </c>
      <c r="I157" s="51" t="str">
        <f>IF(OR(I$2="",COUNT(الرصد!$C157:$Y157)=0),"",IFERROR(SUMIF(معالجة!$B$3:$X$3,I$2,الرصد!$C157:$Y157)/SUMIF(معالجة!$B$3:$X$3,I$2,معالجة!$B$4:$X$4),""))</f>
        <v/>
      </c>
      <c r="J157" s="51" t="str">
        <f>IF(OR(J$2="",COUNT(الرصد!$C157:$Y157)=0),"",IFERROR(SUMIF(معالجة!$B$3:$X$3,J$2,الرصد!$C157:$Y157)/SUMIF(معالجة!$B$3:$X$3,J$2,معالجة!$B$4:$X$4),""))</f>
        <v/>
      </c>
      <c r="K157" s="51" t="str">
        <f>IF(OR(K$2="",COUNT(الرصد!$C157:$Y157)=0),"",IFERROR(SUMIF(معالجة!$B$3:$X$3,K$2,الرصد!$C157:$Y157)/SUMIF(معالجة!$B$3:$X$3,K$2,معالجة!$B$4:$X$4),""))</f>
        <v/>
      </c>
      <c r="L157" s="51" t="str">
        <f>IF(OR(L$2="",COUNT(الرصد!$C157:$Y157)=0),"",IFERROR(SUMIF(معالجة!$B$3:$X$3,L$2,الرصد!$C157:$Y157)/SUMIF(معالجة!$B$3:$X$3,L$2,معالجة!$B$4:$X$4),""))</f>
        <v/>
      </c>
      <c r="M157" s="51" t="str">
        <f>IF(OR(M$2="",COUNT(الرصد!$C157:$Y157)=0),"",IFERROR(SUMIF(معالجة!$B$3:$X$3,M$2,الرصد!$C157:$Y157)/SUMIF(معالجة!$B$3:$X$3,M$2,معالجة!$B$4:$X$4),""))</f>
        <v/>
      </c>
      <c r="N157" s="51" t="str">
        <f>IF(OR(N$2="",COUNT(الرصد!$C157:$Y157)=0),"",IFERROR(SUMIF(معالجة!$B$3:$X$3,N$2,الرصد!$C157:$Y157)/SUMIF(معالجة!$B$3:$X$3,N$2,معالجة!$B$4:$X$4),""))</f>
        <v/>
      </c>
      <c r="O157" s="51" t="str">
        <f>IF(OR(O$2="",COUNT(الرصد!$C157:$Y157)=0),"",IFERROR(SUMIF(معالجة!$B$3:$X$3,O$2,الرصد!$C157:$Y157)/SUMIF(معالجة!$B$3:$X$3,O$2,معالجة!$B$4:$X$4),""))</f>
        <v/>
      </c>
      <c r="P157" s="51" t="str">
        <f>IF(OR(P$2="",COUNT(الرصد!$C157:$Y157)=0),"",IFERROR(SUMIF(معالجة!$B$3:$X$3,P$2,الرصد!$C157:$Y157)/SUMIF(معالجة!$B$3:$X$3,P$2,معالجة!$B$4:$X$4),""))</f>
        <v/>
      </c>
      <c r="Q157" s="51" t="str">
        <f>IF(OR(Q$2="",COUNT(الرصد!$C157:$Y157)=0),"",IFERROR(SUMIF(معالجة!$B$3:$X$3,Q$2,الرصد!$C157:$Y157)/SUMIF(معالجة!$B$3:$X$3,Q$2,معالجة!$B$4:$X$4),""))</f>
        <v/>
      </c>
      <c r="R157" s="51" t="str">
        <f>IF(OR(R$2="",COUNT(الرصد!$C157:$Y157)=0),"",IFERROR(SUMIF(معالجة!$B$3:$X$3,R$2,الرصد!$C157:$Y157)/SUMIF(معالجة!$B$3:$X$3,R$2,معالجة!$B$4:$X$4),""))</f>
        <v/>
      </c>
      <c r="S157" s="51" t="str">
        <f>IF(OR(S$2="",COUNT(الرصد!$C157:$Y157)=0),"",IFERROR(SUMIF(معالجة!$B$3:$X$3,S$2,الرصد!$C157:$Y157)/SUMIF(معالجة!$B$3:$X$3,S$2,معالجة!$B$4:$X$4),""))</f>
        <v/>
      </c>
      <c r="T157" s="51" t="str">
        <f>IF(OR(T$2="",COUNT(الرصد!$C157:$Y157)=0),"",IFERROR(SUMIF(معالجة!$B$3:$X$3,T$2,الرصد!$C157:$Y157)/SUMIF(معالجة!$B$3:$X$3,T$2,معالجة!$B$4:$X$4),""))</f>
        <v/>
      </c>
      <c r="U157" s="51" t="str">
        <f>IF(OR(U$2="",COUNT(الرصد!$C157:$Y157)=0),"",IFERROR(SUMIF(معالجة!$B$3:$X$3,U$2,الرصد!$C157:$Y157)/SUMIF(معالجة!$B$3:$X$3,U$2,معالجة!$B$4:$X$4),""))</f>
        <v/>
      </c>
      <c r="V157" s="51" t="str">
        <f>IF(OR(V$2="",COUNT(الرصد!$C157:$Y157)=0),"",IFERROR(SUMIF(معالجة!$B$3:$X$3,V$2,الرصد!$C157:$Y157)/SUMIF(معالجة!$B$3:$X$3,V$2,معالجة!$B$4:$X$4),""))</f>
        <v/>
      </c>
      <c r="W157" s="51" t="str">
        <f>IFERROR(C157/المهارات!$G$27,"")</f>
        <v/>
      </c>
    </row>
    <row r="158" spans="1:23" ht="14.25" customHeight="1">
      <c r="A158" s="46" t="s">
        <v>227</v>
      </c>
      <c r="B158" s="46" t="s">
        <v>24</v>
      </c>
      <c r="C158" s="52" t="str">
        <f>IF(COUNT(الرصد!C158:Y158)=0,"",SUM(الرصد!C158:Y158))</f>
        <v/>
      </c>
      <c r="D158" s="51" t="str">
        <f>IF(OR(D$2="",COUNT(الرصد!$C158:$Y158)=0),"",IFERROR(SUMIF(معالجة!$B$3:$X$3,D$2,الرصد!$C158:$Y158)/SUMIF(معالجة!$B$3:$X$3,D$2,معالجة!$B$4:$X$4),""))</f>
        <v/>
      </c>
      <c r="E158" s="51" t="str">
        <f>IF(OR(E$2="",COUNT(الرصد!$C158:$Y158)=0),"",IFERROR(SUMIF(معالجة!$B$3:$X$3,E$2,الرصد!$C158:$Y158)/SUMIF(معالجة!$B$3:$X$3,E$2,معالجة!$B$4:$X$4),""))</f>
        <v/>
      </c>
      <c r="F158" s="51" t="str">
        <f>IF(OR(F$2="",COUNT(الرصد!$C158:$Y158)=0),"",IFERROR(SUMIF(معالجة!$B$3:$X$3,F$2,الرصد!$C158:$Y158)/SUMIF(معالجة!$B$3:$X$3,F$2,معالجة!$B$4:$X$4),""))</f>
        <v/>
      </c>
      <c r="G158" s="51" t="str">
        <f>IF(OR(G$2="",COUNT(الرصد!$C158:$Y158)=0),"",IFERROR(SUMIF(معالجة!$B$3:$X$3,G$2,الرصد!$C158:$Y158)/SUMIF(معالجة!$B$3:$X$3,G$2,معالجة!$B$4:$X$4),""))</f>
        <v/>
      </c>
      <c r="H158" s="51" t="str">
        <f>IF(OR(H$2="",COUNT(الرصد!$C158:$Y158)=0),"",IFERROR(SUMIF(معالجة!$B$3:$X$3,H$2,الرصد!$C158:$Y158)/SUMIF(معالجة!$B$3:$X$3,H$2,معالجة!$B$4:$X$4),""))</f>
        <v/>
      </c>
      <c r="I158" s="51" t="str">
        <f>IF(OR(I$2="",COUNT(الرصد!$C158:$Y158)=0),"",IFERROR(SUMIF(معالجة!$B$3:$X$3,I$2,الرصد!$C158:$Y158)/SUMIF(معالجة!$B$3:$X$3,I$2,معالجة!$B$4:$X$4),""))</f>
        <v/>
      </c>
      <c r="J158" s="51" t="str">
        <f>IF(OR(J$2="",COUNT(الرصد!$C158:$Y158)=0),"",IFERROR(SUMIF(معالجة!$B$3:$X$3,J$2,الرصد!$C158:$Y158)/SUMIF(معالجة!$B$3:$X$3,J$2,معالجة!$B$4:$X$4),""))</f>
        <v/>
      </c>
      <c r="K158" s="51" t="str">
        <f>IF(OR(K$2="",COUNT(الرصد!$C158:$Y158)=0),"",IFERROR(SUMIF(معالجة!$B$3:$X$3,K$2,الرصد!$C158:$Y158)/SUMIF(معالجة!$B$3:$X$3,K$2,معالجة!$B$4:$X$4),""))</f>
        <v/>
      </c>
      <c r="L158" s="51" t="str">
        <f>IF(OR(L$2="",COUNT(الرصد!$C158:$Y158)=0),"",IFERROR(SUMIF(معالجة!$B$3:$X$3,L$2,الرصد!$C158:$Y158)/SUMIF(معالجة!$B$3:$X$3,L$2,معالجة!$B$4:$X$4),""))</f>
        <v/>
      </c>
      <c r="M158" s="51" t="str">
        <f>IF(OR(M$2="",COUNT(الرصد!$C158:$Y158)=0),"",IFERROR(SUMIF(معالجة!$B$3:$X$3,M$2,الرصد!$C158:$Y158)/SUMIF(معالجة!$B$3:$X$3,M$2,معالجة!$B$4:$X$4),""))</f>
        <v/>
      </c>
      <c r="N158" s="51" t="str">
        <f>IF(OR(N$2="",COUNT(الرصد!$C158:$Y158)=0),"",IFERROR(SUMIF(معالجة!$B$3:$X$3,N$2,الرصد!$C158:$Y158)/SUMIF(معالجة!$B$3:$X$3,N$2,معالجة!$B$4:$X$4),""))</f>
        <v/>
      </c>
      <c r="O158" s="51" t="str">
        <f>IF(OR(O$2="",COUNT(الرصد!$C158:$Y158)=0),"",IFERROR(SUMIF(معالجة!$B$3:$X$3,O$2,الرصد!$C158:$Y158)/SUMIF(معالجة!$B$3:$X$3,O$2,معالجة!$B$4:$X$4),""))</f>
        <v/>
      </c>
      <c r="P158" s="51" t="str">
        <f>IF(OR(P$2="",COUNT(الرصد!$C158:$Y158)=0),"",IFERROR(SUMIF(معالجة!$B$3:$X$3,P$2,الرصد!$C158:$Y158)/SUMIF(معالجة!$B$3:$X$3,P$2,معالجة!$B$4:$X$4),""))</f>
        <v/>
      </c>
      <c r="Q158" s="51" t="str">
        <f>IF(OR(Q$2="",COUNT(الرصد!$C158:$Y158)=0),"",IFERROR(SUMIF(معالجة!$B$3:$X$3,Q$2,الرصد!$C158:$Y158)/SUMIF(معالجة!$B$3:$X$3,Q$2,معالجة!$B$4:$X$4),""))</f>
        <v/>
      </c>
      <c r="R158" s="51" t="str">
        <f>IF(OR(R$2="",COUNT(الرصد!$C158:$Y158)=0),"",IFERROR(SUMIF(معالجة!$B$3:$X$3,R$2,الرصد!$C158:$Y158)/SUMIF(معالجة!$B$3:$X$3,R$2,معالجة!$B$4:$X$4),""))</f>
        <v/>
      </c>
      <c r="S158" s="51" t="str">
        <f>IF(OR(S$2="",COUNT(الرصد!$C158:$Y158)=0),"",IFERROR(SUMIF(معالجة!$B$3:$X$3,S$2,الرصد!$C158:$Y158)/SUMIF(معالجة!$B$3:$X$3,S$2,معالجة!$B$4:$X$4),""))</f>
        <v/>
      </c>
      <c r="T158" s="51" t="str">
        <f>IF(OR(T$2="",COUNT(الرصد!$C158:$Y158)=0),"",IFERROR(SUMIF(معالجة!$B$3:$X$3,T$2,الرصد!$C158:$Y158)/SUMIF(معالجة!$B$3:$X$3,T$2,معالجة!$B$4:$X$4),""))</f>
        <v/>
      </c>
      <c r="U158" s="51" t="str">
        <f>IF(OR(U$2="",COUNT(الرصد!$C158:$Y158)=0),"",IFERROR(SUMIF(معالجة!$B$3:$X$3,U$2,الرصد!$C158:$Y158)/SUMIF(معالجة!$B$3:$X$3,U$2,معالجة!$B$4:$X$4),""))</f>
        <v/>
      </c>
      <c r="V158" s="51" t="str">
        <f>IF(OR(V$2="",COUNT(الرصد!$C158:$Y158)=0),"",IFERROR(SUMIF(معالجة!$B$3:$X$3,V$2,الرصد!$C158:$Y158)/SUMIF(معالجة!$B$3:$X$3,V$2,معالجة!$B$4:$X$4),""))</f>
        <v/>
      </c>
      <c r="W158" s="51" t="str">
        <f>IFERROR(C158/المهارات!$G$27,"")</f>
        <v/>
      </c>
    </row>
    <row r="159" spans="1:23" ht="14.25" customHeight="1">
      <c r="A159" s="42" t="s">
        <v>228</v>
      </c>
      <c r="B159" s="42" t="s">
        <v>24</v>
      </c>
      <c r="C159" s="50" t="str">
        <f>IF(COUNT(الرصد!C159:Y159)=0,"",SUM(الرصد!C159:Y159))</f>
        <v/>
      </c>
      <c r="D159" s="51" t="str">
        <f>IF(OR(D$2="",COUNT(الرصد!$C159:$Y159)=0),"",IFERROR(SUMIF(معالجة!$B$3:$X$3,D$2,الرصد!$C159:$Y159)/SUMIF(معالجة!$B$3:$X$3,D$2,معالجة!$B$4:$X$4),""))</f>
        <v/>
      </c>
      <c r="E159" s="51" t="str">
        <f>IF(OR(E$2="",COUNT(الرصد!$C159:$Y159)=0),"",IFERROR(SUMIF(معالجة!$B$3:$X$3,E$2,الرصد!$C159:$Y159)/SUMIF(معالجة!$B$3:$X$3,E$2,معالجة!$B$4:$X$4),""))</f>
        <v/>
      </c>
      <c r="F159" s="51" t="str">
        <f>IF(OR(F$2="",COUNT(الرصد!$C159:$Y159)=0),"",IFERROR(SUMIF(معالجة!$B$3:$X$3,F$2,الرصد!$C159:$Y159)/SUMIF(معالجة!$B$3:$X$3,F$2,معالجة!$B$4:$X$4),""))</f>
        <v/>
      </c>
      <c r="G159" s="51" t="str">
        <f>IF(OR(G$2="",COUNT(الرصد!$C159:$Y159)=0),"",IFERROR(SUMIF(معالجة!$B$3:$X$3,G$2,الرصد!$C159:$Y159)/SUMIF(معالجة!$B$3:$X$3,G$2,معالجة!$B$4:$X$4),""))</f>
        <v/>
      </c>
      <c r="H159" s="51" t="str">
        <f>IF(OR(H$2="",COUNT(الرصد!$C159:$Y159)=0),"",IFERROR(SUMIF(معالجة!$B$3:$X$3,H$2,الرصد!$C159:$Y159)/SUMIF(معالجة!$B$3:$X$3,H$2,معالجة!$B$4:$X$4),""))</f>
        <v/>
      </c>
      <c r="I159" s="51" t="str">
        <f>IF(OR(I$2="",COUNT(الرصد!$C159:$Y159)=0),"",IFERROR(SUMIF(معالجة!$B$3:$X$3,I$2,الرصد!$C159:$Y159)/SUMIF(معالجة!$B$3:$X$3,I$2,معالجة!$B$4:$X$4),""))</f>
        <v/>
      </c>
      <c r="J159" s="51" t="str">
        <f>IF(OR(J$2="",COUNT(الرصد!$C159:$Y159)=0),"",IFERROR(SUMIF(معالجة!$B$3:$X$3,J$2,الرصد!$C159:$Y159)/SUMIF(معالجة!$B$3:$X$3,J$2,معالجة!$B$4:$X$4),""))</f>
        <v/>
      </c>
      <c r="K159" s="51" t="str">
        <f>IF(OR(K$2="",COUNT(الرصد!$C159:$Y159)=0),"",IFERROR(SUMIF(معالجة!$B$3:$X$3,K$2,الرصد!$C159:$Y159)/SUMIF(معالجة!$B$3:$X$3,K$2,معالجة!$B$4:$X$4),""))</f>
        <v/>
      </c>
      <c r="L159" s="51" t="str">
        <f>IF(OR(L$2="",COUNT(الرصد!$C159:$Y159)=0),"",IFERROR(SUMIF(معالجة!$B$3:$X$3,L$2,الرصد!$C159:$Y159)/SUMIF(معالجة!$B$3:$X$3,L$2,معالجة!$B$4:$X$4),""))</f>
        <v/>
      </c>
      <c r="M159" s="51" t="str">
        <f>IF(OR(M$2="",COUNT(الرصد!$C159:$Y159)=0),"",IFERROR(SUMIF(معالجة!$B$3:$X$3,M$2,الرصد!$C159:$Y159)/SUMIF(معالجة!$B$3:$X$3,M$2,معالجة!$B$4:$X$4),""))</f>
        <v/>
      </c>
      <c r="N159" s="51" t="str">
        <f>IF(OR(N$2="",COUNT(الرصد!$C159:$Y159)=0),"",IFERROR(SUMIF(معالجة!$B$3:$X$3,N$2,الرصد!$C159:$Y159)/SUMIF(معالجة!$B$3:$X$3,N$2,معالجة!$B$4:$X$4),""))</f>
        <v/>
      </c>
      <c r="O159" s="51" t="str">
        <f>IF(OR(O$2="",COUNT(الرصد!$C159:$Y159)=0),"",IFERROR(SUMIF(معالجة!$B$3:$X$3,O$2,الرصد!$C159:$Y159)/SUMIF(معالجة!$B$3:$X$3,O$2,معالجة!$B$4:$X$4),""))</f>
        <v/>
      </c>
      <c r="P159" s="51" t="str">
        <f>IF(OR(P$2="",COUNT(الرصد!$C159:$Y159)=0),"",IFERROR(SUMIF(معالجة!$B$3:$X$3,P$2,الرصد!$C159:$Y159)/SUMIF(معالجة!$B$3:$X$3,P$2,معالجة!$B$4:$X$4),""))</f>
        <v/>
      </c>
      <c r="Q159" s="51" t="str">
        <f>IF(OR(Q$2="",COUNT(الرصد!$C159:$Y159)=0),"",IFERROR(SUMIF(معالجة!$B$3:$X$3,Q$2,الرصد!$C159:$Y159)/SUMIF(معالجة!$B$3:$X$3,Q$2,معالجة!$B$4:$X$4),""))</f>
        <v/>
      </c>
      <c r="R159" s="51" t="str">
        <f>IF(OR(R$2="",COUNT(الرصد!$C159:$Y159)=0),"",IFERROR(SUMIF(معالجة!$B$3:$X$3,R$2,الرصد!$C159:$Y159)/SUMIF(معالجة!$B$3:$X$3,R$2,معالجة!$B$4:$X$4),""))</f>
        <v/>
      </c>
      <c r="S159" s="51" t="str">
        <f>IF(OR(S$2="",COUNT(الرصد!$C159:$Y159)=0),"",IFERROR(SUMIF(معالجة!$B$3:$X$3,S$2,الرصد!$C159:$Y159)/SUMIF(معالجة!$B$3:$X$3,S$2,معالجة!$B$4:$X$4),""))</f>
        <v/>
      </c>
      <c r="T159" s="51" t="str">
        <f>IF(OR(T$2="",COUNT(الرصد!$C159:$Y159)=0),"",IFERROR(SUMIF(معالجة!$B$3:$X$3,T$2,الرصد!$C159:$Y159)/SUMIF(معالجة!$B$3:$X$3,T$2,معالجة!$B$4:$X$4),""))</f>
        <v/>
      </c>
      <c r="U159" s="51" t="str">
        <f>IF(OR(U$2="",COUNT(الرصد!$C159:$Y159)=0),"",IFERROR(SUMIF(معالجة!$B$3:$X$3,U$2,الرصد!$C159:$Y159)/SUMIF(معالجة!$B$3:$X$3,U$2,معالجة!$B$4:$X$4),""))</f>
        <v/>
      </c>
      <c r="V159" s="51" t="str">
        <f>IF(OR(V$2="",COUNT(الرصد!$C159:$Y159)=0),"",IFERROR(SUMIF(معالجة!$B$3:$X$3,V$2,الرصد!$C159:$Y159)/SUMIF(معالجة!$B$3:$X$3,V$2,معالجة!$B$4:$X$4),""))</f>
        <v/>
      </c>
      <c r="W159" s="51" t="str">
        <f>IFERROR(C159/المهارات!$G$27,"")</f>
        <v/>
      </c>
    </row>
    <row r="160" spans="1:23" ht="14.25" customHeight="1">
      <c r="A160" s="46" t="s">
        <v>229</v>
      </c>
      <c r="B160" s="46" t="s">
        <v>24</v>
      </c>
      <c r="C160" s="52" t="str">
        <f>IF(COUNT(الرصد!C160:Y160)=0,"",SUM(الرصد!C160:Y160))</f>
        <v/>
      </c>
      <c r="D160" s="51" t="str">
        <f>IF(OR(D$2="",COUNT(الرصد!$C160:$Y160)=0),"",IFERROR(SUMIF(معالجة!$B$3:$X$3,D$2,الرصد!$C160:$Y160)/SUMIF(معالجة!$B$3:$X$3,D$2,معالجة!$B$4:$X$4),""))</f>
        <v/>
      </c>
      <c r="E160" s="51" t="str">
        <f>IF(OR(E$2="",COUNT(الرصد!$C160:$Y160)=0),"",IFERROR(SUMIF(معالجة!$B$3:$X$3,E$2,الرصد!$C160:$Y160)/SUMIF(معالجة!$B$3:$X$3,E$2,معالجة!$B$4:$X$4),""))</f>
        <v/>
      </c>
      <c r="F160" s="51" t="str">
        <f>IF(OR(F$2="",COUNT(الرصد!$C160:$Y160)=0),"",IFERROR(SUMIF(معالجة!$B$3:$X$3,F$2,الرصد!$C160:$Y160)/SUMIF(معالجة!$B$3:$X$3,F$2,معالجة!$B$4:$X$4),""))</f>
        <v/>
      </c>
      <c r="G160" s="51" t="str">
        <f>IF(OR(G$2="",COUNT(الرصد!$C160:$Y160)=0),"",IFERROR(SUMIF(معالجة!$B$3:$X$3,G$2,الرصد!$C160:$Y160)/SUMIF(معالجة!$B$3:$X$3,G$2,معالجة!$B$4:$X$4),""))</f>
        <v/>
      </c>
      <c r="H160" s="51" t="str">
        <f>IF(OR(H$2="",COUNT(الرصد!$C160:$Y160)=0),"",IFERROR(SUMIF(معالجة!$B$3:$X$3,H$2,الرصد!$C160:$Y160)/SUMIF(معالجة!$B$3:$X$3,H$2,معالجة!$B$4:$X$4),""))</f>
        <v/>
      </c>
      <c r="I160" s="51" t="str">
        <f>IF(OR(I$2="",COUNT(الرصد!$C160:$Y160)=0),"",IFERROR(SUMIF(معالجة!$B$3:$X$3,I$2,الرصد!$C160:$Y160)/SUMIF(معالجة!$B$3:$X$3,I$2,معالجة!$B$4:$X$4),""))</f>
        <v/>
      </c>
      <c r="J160" s="51" t="str">
        <f>IF(OR(J$2="",COUNT(الرصد!$C160:$Y160)=0),"",IFERROR(SUMIF(معالجة!$B$3:$X$3,J$2,الرصد!$C160:$Y160)/SUMIF(معالجة!$B$3:$X$3,J$2,معالجة!$B$4:$X$4),""))</f>
        <v/>
      </c>
      <c r="K160" s="51" t="str">
        <f>IF(OR(K$2="",COUNT(الرصد!$C160:$Y160)=0),"",IFERROR(SUMIF(معالجة!$B$3:$X$3,K$2,الرصد!$C160:$Y160)/SUMIF(معالجة!$B$3:$X$3,K$2,معالجة!$B$4:$X$4),""))</f>
        <v/>
      </c>
      <c r="L160" s="51" t="str">
        <f>IF(OR(L$2="",COUNT(الرصد!$C160:$Y160)=0),"",IFERROR(SUMIF(معالجة!$B$3:$X$3,L$2,الرصد!$C160:$Y160)/SUMIF(معالجة!$B$3:$X$3,L$2,معالجة!$B$4:$X$4),""))</f>
        <v/>
      </c>
      <c r="M160" s="51" t="str">
        <f>IF(OR(M$2="",COUNT(الرصد!$C160:$Y160)=0),"",IFERROR(SUMIF(معالجة!$B$3:$X$3,M$2,الرصد!$C160:$Y160)/SUMIF(معالجة!$B$3:$X$3,M$2,معالجة!$B$4:$X$4),""))</f>
        <v/>
      </c>
      <c r="N160" s="51" t="str">
        <f>IF(OR(N$2="",COUNT(الرصد!$C160:$Y160)=0),"",IFERROR(SUMIF(معالجة!$B$3:$X$3,N$2,الرصد!$C160:$Y160)/SUMIF(معالجة!$B$3:$X$3,N$2,معالجة!$B$4:$X$4),""))</f>
        <v/>
      </c>
      <c r="O160" s="51" t="str">
        <f>IF(OR(O$2="",COUNT(الرصد!$C160:$Y160)=0),"",IFERROR(SUMIF(معالجة!$B$3:$X$3,O$2,الرصد!$C160:$Y160)/SUMIF(معالجة!$B$3:$X$3,O$2,معالجة!$B$4:$X$4),""))</f>
        <v/>
      </c>
      <c r="P160" s="51" t="str">
        <f>IF(OR(P$2="",COUNT(الرصد!$C160:$Y160)=0),"",IFERROR(SUMIF(معالجة!$B$3:$X$3,P$2,الرصد!$C160:$Y160)/SUMIF(معالجة!$B$3:$X$3,P$2,معالجة!$B$4:$X$4),""))</f>
        <v/>
      </c>
      <c r="Q160" s="51" t="str">
        <f>IF(OR(Q$2="",COUNT(الرصد!$C160:$Y160)=0),"",IFERROR(SUMIF(معالجة!$B$3:$X$3,Q$2,الرصد!$C160:$Y160)/SUMIF(معالجة!$B$3:$X$3,Q$2,معالجة!$B$4:$X$4),""))</f>
        <v/>
      </c>
      <c r="R160" s="51" t="str">
        <f>IF(OR(R$2="",COUNT(الرصد!$C160:$Y160)=0),"",IFERROR(SUMIF(معالجة!$B$3:$X$3,R$2,الرصد!$C160:$Y160)/SUMIF(معالجة!$B$3:$X$3,R$2,معالجة!$B$4:$X$4),""))</f>
        <v/>
      </c>
      <c r="S160" s="51" t="str">
        <f>IF(OR(S$2="",COUNT(الرصد!$C160:$Y160)=0),"",IFERROR(SUMIF(معالجة!$B$3:$X$3,S$2,الرصد!$C160:$Y160)/SUMIF(معالجة!$B$3:$X$3,S$2,معالجة!$B$4:$X$4),""))</f>
        <v/>
      </c>
      <c r="T160" s="51" t="str">
        <f>IF(OR(T$2="",COUNT(الرصد!$C160:$Y160)=0),"",IFERROR(SUMIF(معالجة!$B$3:$X$3,T$2,الرصد!$C160:$Y160)/SUMIF(معالجة!$B$3:$X$3,T$2,معالجة!$B$4:$X$4),""))</f>
        <v/>
      </c>
      <c r="U160" s="51" t="str">
        <f>IF(OR(U$2="",COUNT(الرصد!$C160:$Y160)=0),"",IFERROR(SUMIF(معالجة!$B$3:$X$3,U$2,الرصد!$C160:$Y160)/SUMIF(معالجة!$B$3:$X$3,U$2,معالجة!$B$4:$X$4),""))</f>
        <v/>
      </c>
      <c r="V160" s="51" t="str">
        <f>IF(OR(V$2="",COUNT(الرصد!$C160:$Y160)=0),"",IFERROR(SUMIF(معالجة!$B$3:$X$3,V$2,الرصد!$C160:$Y160)/SUMIF(معالجة!$B$3:$X$3,V$2,معالجة!$B$4:$X$4),""))</f>
        <v/>
      </c>
      <c r="W160" s="51" t="str">
        <f>IFERROR(C160/المهارات!$G$27,"")</f>
        <v/>
      </c>
    </row>
    <row r="161" spans="1:23" ht="14.25" customHeight="1">
      <c r="A161" s="42" t="s">
        <v>230</v>
      </c>
      <c r="B161" s="42" t="s">
        <v>24</v>
      </c>
      <c r="C161" s="50" t="str">
        <f>IF(COUNT(الرصد!C161:Y161)=0,"",SUM(الرصد!C161:Y161))</f>
        <v/>
      </c>
      <c r="D161" s="51" t="str">
        <f>IF(OR(D$2="",COUNT(الرصد!$C161:$Y161)=0),"",IFERROR(SUMIF(معالجة!$B$3:$X$3,D$2,الرصد!$C161:$Y161)/SUMIF(معالجة!$B$3:$X$3,D$2,معالجة!$B$4:$X$4),""))</f>
        <v/>
      </c>
      <c r="E161" s="51" t="str">
        <f>IF(OR(E$2="",COUNT(الرصد!$C161:$Y161)=0),"",IFERROR(SUMIF(معالجة!$B$3:$X$3,E$2,الرصد!$C161:$Y161)/SUMIF(معالجة!$B$3:$X$3,E$2,معالجة!$B$4:$X$4),""))</f>
        <v/>
      </c>
      <c r="F161" s="51" t="str">
        <f>IF(OR(F$2="",COUNT(الرصد!$C161:$Y161)=0),"",IFERROR(SUMIF(معالجة!$B$3:$X$3,F$2,الرصد!$C161:$Y161)/SUMIF(معالجة!$B$3:$X$3,F$2,معالجة!$B$4:$X$4),""))</f>
        <v/>
      </c>
      <c r="G161" s="51" t="str">
        <f>IF(OR(G$2="",COUNT(الرصد!$C161:$Y161)=0),"",IFERROR(SUMIF(معالجة!$B$3:$X$3,G$2,الرصد!$C161:$Y161)/SUMIF(معالجة!$B$3:$X$3,G$2,معالجة!$B$4:$X$4),""))</f>
        <v/>
      </c>
      <c r="H161" s="51" t="str">
        <f>IF(OR(H$2="",COUNT(الرصد!$C161:$Y161)=0),"",IFERROR(SUMIF(معالجة!$B$3:$X$3,H$2,الرصد!$C161:$Y161)/SUMIF(معالجة!$B$3:$X$3,H$2,معالجة!$B$4:$X$4),""))</f>
        <v/>
      </c>
      <c r="I161" s="51" t="str">
        <f>IF(OR(I$2="",COUNT(الرصد!$C161:$Y161)=0),"",IFERROR(SUMIF(معالجة!$B$3:$X$3,I$2,الرصد!$C161:$Y161)/SUMIF(معالجة!$B$3:$X$3,I$2,معالجة!$B$4:$X$4),""))</f>
        <v/>
      </c>
      <c r="J161" s="51" t="str">
        <f>IF(OR(J$2="",COUNT(الرصد!$C161:$Y161)=0),"",IFERROR(SUMIF(معالجة!$B$3:$X$3,J$2,الرصد!$C161:$Y161)/SUMIF(معالجة!$B$3:$X$3,J$2,معالجة!$B$4:$X$4),""))</f>
        <v/>
      </c>
      <c r="K161" s="51" t="str">
        <f>IF(OR(K$2="",COUNT(الرصد!$C161:$Y161)=0),"",IFERROR(SUMIF(معالجة!$B$3:$X$3,K$2,الرصد!$C161:$Y161)/SUMIF(معالجة!$B$3:$X$3,K$2,معالجة!$B$4:$X$4),""))</f>
        <v/>
      </c>
      <c r="L161" s="51" t="str">
        <f>IF(OR(L$2="",COUNT(الرصد!$C161:$Y161)=0),"",IFERROR(SUMIF(معالجة!$B$3:$X$3,L$2,الرصد!$C161:$Y161)/SUMIF(معالجة!$B$3:$X$3,L$2,معالجة!$B$4:$X$4),""))</f>
        <v/>
      </c>
      <c r="M161" s="51" t="str">
        <f>IF(OR(M$2="",COUNT(الرصد!$C161:$Y161)=0),"",IFERROR(SUMIF(معالجة!$B$3:$X$3,M$2,الرصد!$C161:$Y161)/SUMIF(معالجة!$B$3:$X$3,M$2,معالجة!$B$4:$X$4),""))</f>
        <v/>
      </c>
      <c r="N161" s="51" t="str">
        <f>IF(OR(N$2="",COUNT(الرصد!$C161:$Y161)=0),"",IFERROR(SUMIF(معالجة!$B$3:$X$3,N$2,الرصد!$C161:$Y161)/SUMIF(معالجة!$B$3:$X$3,N$2,معالجة!$B$4:$X$4),""))</f>
        <v/>
      </c>
      <c r="O161" s="51" t="str">
        <f>IF(OR(O$2="",COUNT(الرصد!$C161:$Y161)=0),"",IFERROR(SUMIF(معالجة!$B$3:$X$3,O$2,الرصد!$C161:$Y161)/SUMIF(معالجة!$B$3:$X$3,O$2,معالجة!$B$4:$X$4),""))</f>
        <v/>
      </c>
      <c r="P161" s="51" t="str">
        <f>IF(OR(P$2="",COUNT(الرصد!$C161:$Y161)=0),"",IFERROR(SUMIF(معالجة!$B$3:$X$3,P$2,الرصد!$C161:$Y161)/SUMIF(معالجة!$B$3:$X$3,P$2,معالجة!$B$4:$X$4),""))</f>
        <v/>
      </c>
      <c r="Q161" s="51" t="str">
        <f>IF(OR(Q$2="",COUNT(الرصد!$C161:$Y161)=0),"",IFERROR(SUMIF(معالجة!$B$3:$X$3,Q$2,الرصد!$C161:$Y161)/SUMIF(معالجة!$B$3:$X$3,Q$2,معالجة!$B$4:$X$4),""))</f>
        <v/>
      </c>
      <c r="R161" s="51" t="str">
        <f>IF(OR(R$2="",COUNT(الرصد!$C161:$Y161)=0),"",IFERROR(SUMIF(معالجة!$B$3:$X$3,R$2,الرصد!$C161:$Y161)/SUMIF(معالجة!$B$3:$X$3,R$2,معالجة!$B$4:$X$4),""))</f>
        <v/>
      </c>
      <c r="S161" s="51" t="str">
        <f>IF(OR(S$2="",COUNT(الرصد!$C161:$Y161)=0),"",IFERROR(SUMIF(معالجة!$B$3:$X$3,S$2,الرصد!$C161:$Y161)/SUMIF(معالجة!$B$3:$X$3,S$2,معالجة!$B$4:$X$4),""))</f>
        <v/>
      </c>
      <c r="T161" s="51" t="str">
        <f>IF(OR(T$2="",COUNT(الرصد!$C161:$Y161)=0),"",IFERROR(SUMIF(معالجة!$B$3:$X$3,T$2,الرصد!$C161:$Y161)/SUMIF(معالجة!$B$3:$X$3,T$2,معالجة!$B$4:$X$4),""))</f>
        <v/>
      </c>
      <c r="U161" s="51" t="str">
        <f>IF(OR(U$2="",COUNT(الرصد!$C161:$Y161)=0),"",IFERROR(SUMIF(معالجة!$B$3:$X$3,U$2,الرصد!$C161:$Y161)/SUMIF(معالجة!$B$3:$X$3,U$2,معالجة!$B$4:$X$4),""))</f>
        <v/>
      </c>
      <c r="V161" s="51" t="str">
        <f>IF(OR(V$2="",COUNT(الرصد!$C161:$Y161)=0),"",IFERROR(SUMIF(معالجة!$B$3:$X$3,V$2,الرصد!$C161:$Y161)/SUMIF(معالجة!$B$3:$X$3,V$2,معالجة!$B$4:$X$4),""))</f>
        <v/>
      </c>
      <c r="W161" s="51" t="str">
        <f>IFERROR(C161/المهارات!$G$27,"")</f>
        <v/>
      </c>
    </row>
    <row r="162" spans="1:23" ht="14.25" customHeight="1">
      <c r="A162" s="46" t="s">
        <v>231</v>
      </c>
      <c r="B162" s="46" t="s">
        <v>24</v>
      </c>
      <c r="C162" s="52" t="str">
        <f>IF(COUNT(الرصد!C162:Y162)=0,"",SUM(الرصد!C162:Y162))</f>
        <v/>
      </c>
      <c r="D162" s="51" t="str">
        <f>IF(OR(D$2="",COUNT(الرصد!$C162:$Y162)=0),"",IFERROR(SUMIF(معالجة!$B$3:$X$3,D$2,الرصد!$C162:$Y162)/SUMIF(معالجة!$B$3:$X$3,D$2,معالجة!$B$4:$X$4),""))</f>
        <v/>
      </c>
      <c r="E162" s="51" t="str">
        <f>IF(OR(E$2="",COUNT(الرصد!$C162:$Y162)=0),"",IFERROR(SUMIF(معالجة!$B$3:$X$3,E$2,الرصد!$C162:$Y162)/SUMIF(معالجة!$B$3:$X$3,E$2,معالجة!$B$4:$X$4),""))</f>
        <v/>
      </c>
      <c r="F162" s="51" t="str">
        <f>IF(OR(F$2="",COUNT(الرصد!$C162:$Y162)=0),"",IFERROR(SUMIF(معالجة!$B$3:$X$3,F$2,الرصد!$C162:$Y162)/SUMIF(معالجة!$B$3:$X$3,F$2,معالجة!$B$4:$X$4),""))</f>
        <v/>
      </c>
      <c r="G162" s="51" t="str">
        <f>IF(OR(G$2="",COUNT(الرصد!$C162:$Y162)=0),"",IFERROR(SUMIF(معالجة!$B$3:$X$3,G$2,الرصد!$C162:$Y162)/SUMIF(معالجة!$B$3:$X$3,G$2,معالجة!$B$4:$X$4),""))</f>
        <v/>
      </c>
      <c r="H162" s="51" t="str">
        <f>IF(OR(H$2="",COUNT(الرصد!$C162:$Y162)=0),"",IFERROR(SUMIF(معالجة!$B$3:$X$3,H$2,الرصد!$C162:$Y162)/SUMIF(معالجة!$B$3:$X$3,H$2,معالجة!$B$4:$X$4),""))</f>
        <v/>
      </c>
      <c r="I162" s="51" t="str">
        <f>IF(OR(I$2="",COUNT(الرصد!$C162:$Y162)=0),"",IFERROR(SUMIF(معالجة!$B$3:$X$3,I$2,الرصد!$C162:$Y162)/SUMIF(معالجة!$B$3:$X$3,I$2,معالجة!$B$4:$X$4),""))</f>
        <v/>
      </c>
      <c r="J162" s="51" t="str">
        <f>IF(OR(J$2="",COUNT(الرصد!$C162:$Y162)=0),"",IFERROR(SUMIF(معالجة!$B$3:$X$3,J$2,الرصد!$C162:$Y162)/SUMIF(معالجة!$B$3:$X$3,J$2,معالجة!$B$4:$X$4),""))</f>
        <v/>
      </c>
      <c r="K162" s="51" t="str">
        <f>IF(OR(K$2="",COUNT(الرصد!$C162:$Y162)=0),"",IFERROR(SUMIF(معالجة!$B$3:$X$3,K$2,الرصد!$C162:$Y162)/SUMIF(معالجة!$B$3:$X$3,K$2,معالجة!$B$4:$X$4),""))</f>
        <v/>
      </c>
      <c r="L162" s="51" t="str">
        <f>IF(OR(L$2="",COUNT(الرصد!$C162:$Y162)=0),"",IFERROR(SUMIF(معالجة!$B$3:$X$3,L$2,الرصد!$C162:$Y162)/SUMIF(معالجة!$B$3:$X$3,L$2,معالجة!$B$4:$X$4),""))</f>
        <v/>
      </c>
      <c r="M162" s="51" t="str">
        <f>IF(OR(M$2="",COUNT(الرصد!$C162:$Y162)=0),"",IFERROR(SUMIF(معالجة!$B$3:$X$3,M$2,الرصد!$C162:$Y162)/SUMIF(معالجة!$B$3:$X$3,M$2,معالجة!$B$4:$X$4),""))</f>
        <v/>
      </c>
      <c r="N162" s="51" t="str">
        <f>IF(OR(N$2="",COUNT(الرصد!$C162:$Y162)=0),"",IFERROR(SUMIF(معالجة!$B$3:$X$3,N$2,الرصد!$C162:$Y162)/SUMIF(معالجة!$B$3:$X$3,N$2,معالجة!$B$4:$X$4),""))</f>
        <v/>
      </c>
      <c r="O162" s="51" t="str">
        <f>IF(OR(O$2="",COUNT(الرصد!$C162:$Y162)=0),"",IFERROR(SUMIF(معالجة!$B$3:$X$3,O$2,الرصد!$C162:$Y162)/SUMIF(معالجة!$B$3:$X$3,O$2,معالجة!$B$4:$X$4),""))</f>
        <v/>
      </c>
      <c r="P162" s="51" t="str">
        <f>IF(OR(P$2="",COUNT(الرصد!$C162:$Y162)=0),"",IFERROR(SUMIF(معالجة!$B$3:$X$3,P$2,الرصد!$C162:$Y162)/SUMIF(معالجة!$B$3:$X$3,P$2,معالجة!$B$4:$X$4),""))</f>
        <v/>
      </c>
      <c r="Q162" s="51" t="str">
        <f>IF(OR(Q$2="",COUNT(الرصد!$C162:$Y162)=0),"",IFERROR(SUMIF(معالجة!$B$3:$X$3,Q$2,الرصد!$C162:$Y162)/SUMIF(معالجة!$B$3:$X$3,Q$2,معالجة!$B$4:$X$4),""))</f>
        <v/>
      </c>
      <c r="R162" s="51" t="str">
        <f>IF(OR(R$2="",COUNT(الرصد!$C162:$Y162)=0),"",IFERROR(SUMIF(معالجة!$B$3:$X$3,R$2,الرصد!$C162:$Y162)/SUMIF(معالجة!$B$3:$X$3,R$2,معالجة!$B$4:$X$4),""))</f>
        <v/>
      </c>
      <c r="S162" s="51" t="str">
        <f>IF(OR(S$2="",COUNT(الرصد!$C162:$Y162)=0),"",IFERROR(SUMIF(معالجة!$B$3:$X$3,S$2,الرصد!$C162:$Y162)/SUMIF(معالجة!$B$3:$X$3,S$2,معالجة!$B$4:$X$4),""))</f>
        <v/>
      </c>
      <c r="T162" s="51" t="str">
        <f>IF(OR(T$2="",COUNT(الرصد!$C162:$Y162)=0),"",IFERROR(SUMIF(معالجة!$B$3:$X$3,T$2,الرصد!$C162:$Y162)/SUMIF(معالجة!$B$3:$X$3,T$2,معالجة!$B$4:$X$4),""))</f>
        <v/>
      </c>
      <c r="U162" s="51" t="str">
        <f>IF(OR(U$2="",COUNT(الرصد!$C162:$Y162)=0),"",IFERROR(SUMIF(معالجة!$B$3:$X$3,U$2,الرصد!$C162:$Y162)/SUMIF(معالجة!$B$3:$X$3,U$2,معالجة!$B$4:$X$4),""))</f>
        <v/>
      </c>
      <c r="V162" s="51" t="str">
        <f>IF(OR(V$2="",COUNT(الرصد!$C162:$Y162)=0),"",IFERROR(SUMIF(معالجة!$B$3:$X$3,V$2,الرصد!$C162:$Y162)/SUMIF(معالجة!$B$3:$X$3,V$2,معالجة!$B$4:$X$4),""))</f>
        <v/>
      </c>
      <c r="W162" s="51" t="str">
        <f>IFERROR(C162/المهارات!$G$27,"")</f>
        <v/>
      </c>
    </row>
    <row r="163" spans="1:23" ht="14.25" customHeight="1">
      <c r="A163" s="42" t="s">
        <v>232</v>
      </c>
      <c r="B163" s="42" t="s">
        <v>24</v>
      </c>
      <c r="C163" s="50" t="str">
        <f>IF(COUNT(الرصد!C163:Y163)=0,"",SUM(الرصد!C163:Y163))</f>
        <v/>
      </c>
      <c r="D163" s="51" t="str">
        <f>IF(OR(D$2="",COUNT(الرصد!$C163:$Y163)=0),"",IFERROR(SUMIF(معالجة!$B$3:$X$3,D$2,الرصد!$C163:$Y163)/SUMIF(معالجة!$B$3:$X$3,D$2,معالجة!$B$4:$X$4),""))</f>
        <v/>
      </c>
      <c r="E163" s="51" t="str">
        <f>IF(OR(E$2="",COUNT(الرصد!$C163:$Y163)=0),"",IFERROR(SUMIF(معالجة!$B$3:$X$3,E$2,الرصد!$C163:$Y163)/SUMIF(معالجة!$B$3:$X$3,E$2,معالجة!$B$4:$X$4),""))</f>
        <v/>
      </c>
      <c r="F163" s="51" t="str">
        <f>IF(OR(F$2="",COUNT(الرصد!$C163:$Y163)=0),"",IFERROR(SUMIF(معالجة!$B$3:$X$3,F$2,الرصد!$C163:$Y163)/SUMIF(معالجة!$B$3:$X$3,F$2,معالجة!$B$4:$X$4),""))</f>
        <v/>
      </c>
      <c r="G163" s="51" t="str">
        <f>IF(OR(G$2="",COUNT(الرصد!$C163:$Y163)=0),"",IFERROR(SUMIF(معالجة!$B$3:$X$3,G$2,الرصد!$C163:$Y163)/SUMIF(معالجة!$B$3:$X$3,G$2,معالجة!$B$4:$X$4),""))</f>
        <v/>
      </c>
      <c r="H163" s="51" t="str">
        <f>IF(OR(H$2="",COUNT(الرصد!$C163:$Y163)=0),"",IFERROR(SUMIF(معالجة!$B$3:$X$3,H$2,الرصد!$C163:$Y163)/SUMIF(معالجة!$B$3:$X$3,H$2,معالجة!$B$4:$X$4),""))</f>
        <v/>
      </c>
      <c r="I163" s="51" t="str">
        <f>IF(OR(I$2="",COUNT(الرصد!$C163:$Y163)=0),"",IFERROR(SUMIF(معالجة!$B$3:$X$3,I$2,الرصد!$C163:$Y163)/SUMIF(معالجة!$B$3:$X$3,I$2,معالجة!$B$4:$X$4),""))</f>
        <v/>
      </c>
      <c r="J163" s="51" t="str">
        <f>IF(OR(J$2="",COUNT(الرصد!$C163:$Y163)=0),"",IFERROR(SUMIF(معالجة!$B$3:$X$3,J$2,الرصد!$C163:$Y163)/SUMIF(معالجة!$B$3:$X$3,J$2,معالجة!$B$4:$X$4),""))</f>
        <v/>
      </c>
      <c r="K163" s="51" t="str">
        <f>IF(OR(K$2="",COUNT(الرصد!$C163:$Y163)=0),"",IFERROR(SUMIF(معالجة!$B$3:$X$3,K$2,الرصد!$C163:$Y163)/SUMIF(معالجة!$B$3:$X$3,K$2,معالجة!$B$4:$X$4),""))</f>
        <v/>
      </c>
      <c r="L163" s="51" t="str">
        <f>IF(OR(L$2="",COUNT(الرصد!$C163:$Y163)=0),"",IFERROR(SUMIF(معالجة!$B$3:$X$3,L$2,الرصد!$C163:$Y163)/SUMIF(معالجة!$B$3:$X$3,L$2,معالجة!$B$4:$X$4),""))</f>
        <v/>
      </c>
      <c r="M163" s="51" t="str">
        <f>IF(OR(M$2="",COUNT(الرصد!$C163:$Y163)=0),"",IFERROR(SUMIF(معالجة!$B$3:$X$3,M$2,الرصد!$C163:$Y163)/SUMIF(معالجة!$B$3:$X$3,M$2,معالجة!$B$4:$X$4),""))</f>
        <v/>
      </c>
      <c r="N163" s="51" t="str">
        <f>IF(OR(N$2="",COUNT(الرصد!$C163:$Y163)=0),"",IFERROR(SUMIF(معالجة!$B$3:$X$3,N$2,الرصد!$C163:$Y163)/SUMIF(معالجة!$B$3:$X$3,N$2,معالجة!$B$4:$X$4),""))</f>
        <v/>
      </c>
      <c r="O163" s="51" t="str">
        <f>IF(OR(O$2="",COUNT(الرصد!$C163:$Y163)=0),"",IFERROR(SUMIF(معالجة!$B$3:$X$3,O$2,الرصد!$C163:$Y163)/SUMIF(معالجة!$B$3:$X$3,O$2,معالجة!$B$4:$X$4),""))</f>
        <v/>
      </c>
      <c r="P163" s="51" t="str">
        <f>IF(OR(P$2="",COUNT(الرصد!$C163:$Y163)=0),"",IFERROR(SUMIF(معالجة!$B$3:$X$3,P$2,الرصد!$C163:$Y163)/SUMIF(معالجة!$B$3:$X$3,P$2,معالجة!$B$4:$X$4),""))</f>
        <v/>
      </c>
      <c r="Q163" s="51" t="str">
        <f>IF(OR(Q$2="",COUNT(الرصد!$C163:$Y163)=0),"",IFERROR(SUMIF(معالجة!$B$3:$X$3,Q$2,الرصد!$C163:$Y163)/SUMIF(معالجة!$B$3:$X$3,Q$2,معالجة!$B$4:$X$4),""))</f>
        <v/>
      </c>
      <c r="R163" s="51" t="str">
        <f>IF(OR(R$2="",COUNT(الرصد!$C163:$Y163)=0),"",IFERROR(SUMIF(معالجة!$B$3:$X$3,R$2,الرصد!$C163:$Y163)/SUMIF(معالجة!$B$3:$X$3,R$2,معالجة!$B$4:$X$4),""))</f>
        <v/>
      </c>
      <c r="S163" s="51" t="str">
        <f>IF(OR(S$2="",COUNT(الرصد!$C163:$Y163)=0),"",IFERROR(SUMIF(معالجة!$B$3:$X$3,S$2,الرصد!$C163:$Y163)/SUMIF(معالجة!$B$3:$X$3,S$2,معالجة!$B$4:$X$4),""))</f>
        <v/>
      </c>
      <c r="T163" s="51" t="str">
        <f>IF(OR(T$2="",COUNT(الرصد!$C163:$Y163)=0),"",IFERROR(SUMIF(معالجة!$B$3:$X$3,T$2,الرصد!$C163:$Y163)/SUMIF(معالجة!$B$3:$X$3,T$2,معالجة!$B$4:$X$4),""))</f>
        <v/>
      </c>
      <c r="U163" s="51" t="str">
        <f>IF(OR(U$2="",COUNT(الرصد!$C163:$Y163)=0),"",IFERROR(SUMIF(معالجة!$B$3:$X$3,U$2,الرصد!$C163:$Y163)/SUMIF(معالجة!$B$3:$X$3,U$2,معالجة!$B$4:$X$4),""))</f>
        <v/>
      </c>
      <c r="V163" s="51" t="str">
        <f>IF(OR(V$2="",COUNT(الرصد!$C163:$Y163)=0),"",IFERROR(SUMIF(معالجة!$B$3:$X$3,V$2,الرصد!$C163:$Y163)/SUMIF(معالجة!$B$3:$X$3,V$2,معالجة!$B$4:$X$4),""))</f>
        <v/>
      </c>
      <c r="W163" s="51" t="str">
        <f>IFERROR(C163/المهارات!$G$27,"")</f>
        <v/>
      </c>
    </row>
    <row r="164" spans="1:23" ht="14.25" customHeight="1">
      <c r="A164" s="46" t="s">
        <v>233</v>
      </c>
      <c r="B164" s="46" t="s">
        <v>24</v>
      </c>
      <c r="C164" s="52" t="str">
        <f>IF(COUNT(الرصد!C164:Y164)=0,"",SUM(الرصد!C164:Y164))</f>
        <v/>
      </c>
      <c r="D164" s="51" t="str">
        <f>IF(OR(D$2="",COUNT(الرصد!$C164:$Y164)=0),"",IFERROR(SUMIF(معالجة!$B$3:$X$3,D$2,الرصد!$C164:$Y164)/SUMIF(معالجة!$B$3:$X$3,D$2,معالجة!$B$4:$X$4),""))</f>
        <v/>
      </c>
      <c r="E164" s="51" t="str">
        <f>IF(OR(E$2="",COUNT(الرصد!$C164:$Y164)=0),"",IFERROR(SUMIF(معالجة!$B$3:$X$3,E$2,الرصد!$C164:$Y164)/SUMIF(معالجة!$B$3:$X$3,E$2,معالجة!$B$4:$X$4),""))</f>
        <v/>
      </c>
      <c r="F164" s="51" t="str">
        <f>IF(OR(F$2="",COUNT(الرصد!$C164:$Y164)=0),"",IFERROR(SUMIF(معالجة!$B$3:$X$3,F$2,الرصد!$C164:$Y164)/SUMIF(معالجة!$B$3:$X$3,F$2,معالجة!$B$4:$X$4),""))</f>
        <v/>
      </c>
      <c r="G164" s="51" t="str">
        <f>IF(OR(G$2="",COUNT(الرصد!$C164:$Y164)=0),"",IFERROR(SUMIF(معالجة!$B$3:$X$3,G$2,الرصد!$C164:$Y164)/SUMIF(معالجة!$B$3:$X$3,G$2,معالجة!$B$4:$X$4),""))</f>
        <v/>
      </c>
      <c r="H164" s="51" t="str">
        <f>IF(OR(H$2="",COUNT(الرصد!$C164:$Y164)=0),"",IFERROR(SUMIF(معالجة!$B$3:$X$3,H$2,الرصد!$C164:$Y164)/SUMIF(معالجة!$B$3:$X$3,H$2,معالجة!$B$4:$X$4),""))</f>
        <v/>
      </c>
      <c r="I164" s="51" t="str">
        <f>IF(OR(I$2="",COUNT(الرصد!$C164:$Y164)=0),"",IFERROR(SUMIF(معالجة!$B$3:$X$3,I$2,الرصد!$C164:$Y164)/SUMIF(معالجة!$B$3:$X$3,I$2,معالجة!$B$4:$X$4),""))</f>
        <v/>
      </c>
      <c r="J164" s="51" t="str">
        <f>IF(OR(J$2="",COUNT(الرصد!$C164:$Y164)=0),"",IFERROR(SUMIF(معالجة!$B$3:$X$3,J$2,الرصد!$C164:$Y164)/SUMIF(معالجة!$B$3:$X$3,J$2,معالجة!$B$4:$X$4),""))</f>
        <v/>
      </c>
      <c r="K164" s="51" t="str">
        <f>IF(OR(K$2="",COUNT(الرصد!$C164:$Y164)=0),"",IFERROR(SUMIF(معالجة!$B$3:$X$3,K$2,الرصد!$C164:$Y164)/SUMIF(معالجة!$B$3:$X$3,K$2,معالجة!$B$4:$X$4),""))</f>
        <v/>
      </c>
      <c r="L164" s="51" t="str">
        <f>IF(OR(L$2="",COUNT(الرصد!$C164:$Y164)=0),"",IFERROR(SUMIF(معالجة!$B$3:$X$3,L$2,الرصد!$C164:$Y164)/SUMIF(معالجة!$B$3:$X$3,L$2,معالجة!$B$4:$X$4),""))</f>
        <v/>
      </c>
      <c r="M164" s="51" t="str">
        <f>IF(OR(M$2="",COUNT(الرصد!$C164:$Y164)=0),"",IFERROR(SUMIF(معالجة!$B$3:$X$3,M$2,الرصد!$C164:$Y164)/SUMIF(معالجة!$B$3:$X$3,M$2,معالجة!$B$4:$X$4),""))</f>
        <v/>
      </c>
      <c r="N164" s="51" t="str">
        <f>IF(OR(N$2="",COUNT(الرصد!$C164:$Y164)=0),"",IFERROR(SUMIF(معالجة!$B$3:$X$3,N$2,الرصد!$C164:$Y164)/SUMIF(معالجة!$B$3:$X$3,N$2,معالجة!$B$4:$X$4),""))</f>
        <v/>
      </c>
      <c r="O164" s="51" t="str">
        <f>IF(OR(O$2="",COUNT(الرصد!$C164:$Y164)=0),"",IFERROR(SUMIF(معالجة!$B$3:$X$3,O$2,الرصد!$C164:$Y164)/SUMIF(معالجة!$B$3:$X$3,O$2,معالجة!$B$4:$X$4),""))</f>
        <v/>
      </c>
      <c r="P164" s="51" t="str">
        <f>IF(OR(P$2="",COUNT(الرصد!$C164:$Y164)=0),"",IFERROR(SUMIF(معالجة!$B$3:$X$3,P$2,الرصد!$C164:$Y164)/SUMIF(معالجة!$B$3:$X$3,P$2,معالجة!$B$4:$X$4),""))</f>
        <v/>
      </c>
      <c r="Q164" s="51" t="str">
        <f>IF(OR(Q$2="",COUNT(الرصد!$C164:$Y164)=0),"",IFERROR(SUMIF(معالجة!$B$3:$X$3,Q$2,الرصد!$C164:$Y164)/SUMIF(معالجة!$B$3:$X$3,Q$2,معالجة!$B$4:$X$4),""))</f>
        <v/>
      </c>
      <c r="R164" s="51" t="str">
        <f>IF(OR(R$2="",COUNT(الرصد!$C164:$Y164)=0),"",IFERROR(SUMIF(معالجة!$B$3:$X$3,R$2,الرصد!$C164:$Y164)/SUMIF(معالجة!$B$3:$X$3,R$2,معالجة!$B$4:$X$4),""))</f>
        <v/>
      </c>
      <c r="S164" s="51" t="str">
        <f>IF(OR(S$2="",COUNT(الرصد!$C164:$Y164)=0),"",IFERROR(SUMIF(معالجة!$B$3:$X$3,S$2,الرصد!$C164:$Y164)/SUMIF(معالجة!$B$3:$X$3,S$2,معالجة!$B$4:$X$4),""))</f>
        <v/>
      </c>
      <c r="T164" s="51" t="str">
        <f>IF(OR(T$2="",COUNT(الرصد!$C164:$Y164)=0),"",IFERROR(SUMIF(معالجة!$B$3:$X$3,T$2,الرصد!$C164:$Y164)/SUMIF(معالجة!$B$3:$X$3,T$2,معالجة!$B$4:$X$4),""))</f>
        <v/>
      </c>
      <c r="U164" s="51" t="str">
        <f>IF(OR(U$2="",COUNT(الرصد!$C164:$Y164)=0),"",IFERROR(SUMIF(معالجة!$B$3:$X$3,U$2,الرصد!$C164:$Y164)/SUMIF(معالجة!$B$3:$X$3,U$2,معالجة!$B$4:$X$4),""))</f>
        <v/>
      </c>
      <c r="V164" s="51" t="str">
        <f>IF(OR(V$2="",COUNT(الرصد!$C164:$Y164)=0),"",IFERROR(SUMIF(معالجة!$B$3:$X$3,V$2,الرصد!$C164:$Y164)/SUMIF(معالجة!$B$3:$X$3,V$2,معالجة!$B$4:$X$4),""))</f>
        <v/>
      </c>
      <c r="W164" s="51" t="str">
        <f>IFERROR(C164/المهارات!$G$27,"")</f>
        <v/>
      </c>
    </row>
    <row r="165" spans="1:23" ht="14.25" customHeight="1">
      <c r="A165" s="42" t="s">
        <v>234</v>
      </c>
      <c r="B165" s="42" t="s">
        <v>24</v>
      </c>
      <c r="C165" s="50" t="str">
        <f>IF(COUNT(الرصد!C165:Y165)=0,"",SUM(الرصد!C165:Y165))</f>
        <v/>
      </c>
      <c r="D165" s="51" t="str">
        <f>IF(OR(D$2="",COUNT(الرصد!$C165:$Y165)=0),"",IFERROR(SUMIF(معالجة!$B$3:$X$3,D$2,الرصد!$C165:$Y165)/SUMIF(معالجة!$B$3:$X$3,D$2,معالجة!$B$4:$X$4),""))</f>
        <v/>
      </c>
      <c r="E165" s="51" t="str">
        <f>IF(OR(E$2="",COUNT(الرصد!$C165:$Y165)=0),"",IFERROR(SUMIF(معالجة!$B$3:$X$3,E$2,الرصد!$C165:$Y165)/SUMIF(معالجة!$B$3:$X$3,E$2,معالجة!$B$4:$X$4),""))</f>
        <v/>
      </c>
      <c r="F165" s="51" t="str">
        <f>IF(OR(F$2="",COUNT(الرصد!$C165:$Y165)=0),"",IFERROR(SUMIF(معالجة!$B$3:$X$3,F$2,الرصد!$C165:$Y165)/SUMIF(معالجة!$B$3:$X$3,F$2,معالجة!$B$4:$X$4),""))</f>
        <v/>
      </c>
      <c r="G165" s="51" t="str">
        <f>IF(OR(G$2="",COUNT(الرصد!$C165:$Y165)=0),"",IFERROR(SUMIF(معالجة!$B$3:$X$3,G$2,الرصد!$C165:$Y165)/SUMIF(معالجة!$B$3:$X$3,G$2,معالجة!$B$4:$X$4),""))</f>
        <v/>
      </c>
      <c r="H165" s="51" t="str">
        <f>IF(OR(H$2="",COUNT(الرصد!$C165:$Y165)=0),"",IFERROR(SUMIF(معالجة!$B$3:$X$3,H$2,الرصد!$C165:$Y165)/SUMIF(معالجة!$B$3:$X$3,H$2,معالجة!$B$4:$X$4),""))</f>
        <v/>
      </c>
      <c r="I165" s="51" t="str">
        <f>IF(OR(I$2="",COUNT(الرصد!$C165:$Y165)=0),"",IFERROR(SUMIF(معالجة!$B$3:$X$3,I$2,الرصد!$C165:$Y165)/SUMIF(معالجة!$B$3:$X$3,I$2,معالجة!$B$4:$X$4),""))</f>
        <v/>
      </c>
      <c r="J165" s="51" t="str">
        <f>IF(OR(J$2="",COUNT(الرصد!$C165:$Y165)=0),"",IFERROR(SUMIF(معالجة!$B$3:$X$3,J$2,الرصد!$C165:$Y165)/SUMIF(معالجة!$B$3:$X$3,J$2,معالجة!$B$4:$X$4),""))</f>
        <v/>
      </c>
      <c r="K165" s="51" t="str">
        <f>IF(OR(K$2="",COUNT(الرصد!$C165:$Y165)=0),"",IFERROR(SUMIF(معالجة!$B$3:$X$3,K$2,الرصد!$C165:$Y165)/SUMIF(معالجة!$B$3:$X$3,K$2,معالجة!$B$4:$X$4),""))</f>
        <v/>
      </c>
      <c r="L165" s="51" t="str">
        <f>IF(OR(L$2="",COUNT(الرصد!$C165:$Y165)=0),"",IFERROR(SUMIF(معالجة!$B$3:$X$3,L$2,الرصد!$C165:$Y165)/SUMIF(معالجة!$B$3:$X$3,L$2,معالجة!$B$4:$X$4),""))</f>
        <v/>
      </c>
      <c r="M165" s="51" t="str">
        <f>IF(OR(M$2="",COUNT(الرصد!$C165:$Y165)=0),"",IFERROR(SUMIF(معالجة!$B$3:$X$3,M$2,الرصد!$C165:$Y165)/SUMIF(معالجة!$B$3:$X$3,M$2,معالجة!$B$4:$X$4),""))</f>
        <v/>
      </c>
      <c r="N165" s="51" t="str">
        <f>IF(OR(N$2="",COUNT(الرصد!$C165:$Y165)=0),"",IFERROR(SUMIF(معالجة!$B$3:$X$3,N$2,الرصد!$C165:$Y165)/SUMIF(معالجة!$B$3:$X$3,N$2,معالجة!$B$4:$X$4),""))</f>
        <v/>
      </c>
      <c r="O165" s="51" t="str">
        <f>IF(OR(O$2="",COUNT(الرصد!$C165:$Y165)=0),"",IFERROR(SUMIF(معالجة!$B$3:$X$3,O$2,الرصد!$C165:$Y165)/SUMIF(معالجة!$B$3:$X$3,O$2,معالجة!$B$4:$X$4),""))</f>
        <v/>
      </c>
      <c r="P165" s="51" t="str">
        <f>IF(OR(P$2="",COUNT(الرصد!$C165:$Y165)=0),"",IFERROR(SUMIF(معالجة!$B$3:$X$3,P$2,الرصد!$C165:$Y165)/SUMIF(معالجة!$B$3:$X$3,P$2,معالجة!$B$4:$X$4),""))</f>
        <v/>
      </c>
      <c r="Q165" s="51" t="str">
        <f>IF(OR(Q$2="",COUNT(الرصد!$C165:$Y165)=0),"",IFERROR(SUMIF(معالجة!$B$3:$X$3,Q$2,الرصد!$C165:$Y165)/SUMIF(معالجة!$B$3:$X$3,Q$2,معالجة!$B$4:$X$4),""))</f>
        <v/>
      </c>
      <c r="R165" s="51" t="str">
        <f>IF(OR(R$2="",COUNT(الرصد!$C165:$Y165)=0),"",IFERROR(SUMIF(معالجة!$B$3:$X$3,R$2,الرصد!$C165:$Y165)/SUMIF(معالجة!$B$3:$X$3,R$2,معالجة!$B$4:$X$4),""))</f>
        <v/>
      </c>
      <c r="S165" s="51" t="str">
        <f>IF(OR(S$2="",COUNT(الرصد!$C165:$Y165)=0),"",IFERROR(SUMIF(معالجة!$B$3:$X$3,S$2,الرصد!$C165:$Y165)/SUMIF(معالجة!$B$3:$X$3,S$2,معالجة!$B$4:$X$4),""))</f>
        <v/>
      </c>
      <c r="T165" s="51" t="str">
        <f>IF(OR(T$2="",COUNT(الرصد!$C165:$Y165)=0),"",IFERROR(SUMIF(معالجة!$B$3:$X$3,T$2,الرصد!$C165:$Y165)/SUMIF(معالجة!$B$3:$X$3,T$2,معالجة!$B$4:$X$4),""))</f>
        <v/>
      </c>
      <c r="U165" s="51" t="str">
        <f>IF(OR(U$2="",COUNT(الرصد!$C165:$Y165)=0),"",IFERROR(SUMIF(معالجة!$B$3:$X$3,U$2,الرصد!$C165:$Y165)/SUMIF(معالجة!$B$3:$X$3,U$2,معالجة!$B$4:$X$4),""))</f>
        <v/>
      </c>
      <c r="V165" s="51" t="str">
        <f>IF(OR(V$2="",COUNT(الرصد!$C165:$Y165)=0),"",IFERROR(SUMIF(معالجة!$B$3:$X$3,V$2,الرصد!$C165:$Y165)/SUMIF(معالجة!$B$3:$X$3,V$2,معالجة!$B$4:$X$4),""))</f>
        <v/>
      </c>
      <c r="W165" s="51" t="str">
        <f>IFERROR(C165/المهارات!$G$27,"")</f>
        <v/>
      </c>
    </row>
    <row r="166" spans="1:23" ht="14.25" customHeight="1">
      <c r="A166" s="46" t="s">
        <v>235</v>
      </c>
      <c r="B166" s="46" t="s">
        <v>24</v>
      </c>
      <c r="C166" s="52" t="str">
        <f>IF(COUNT(الرصد!C166:Y166)=0,"",SUM(الرصد!C166:Y166))</f>
        <v/>
      </c>
      <c r="D166" s="51" t="str">
        <f>IF(OR(D$2="",COUNT(الرصد!$C166:$Y166)=0),"",IFERROR(SUMIF(معالجة!$B$3:$X$3,D$2,الرصد!$C166:$Y166)/SUMIF(معالجة!$B$3:$X$3,D$2,معالجة!$B$4:$X$4),""))</f>
        <v/>
      </c>
      <c r="E166" s="51" t="str">
        <f>IF(OR(E$2="",COUNT(الرصد!$C166:$Y166)=0),"",IFERROR(SUMIF(معالجة!$B$3:$X$3,E$2,الرصد!$C166:$Y166)/SUMIF(معالجة!$B$3:$X$3,E$2,معالجة!$B$4:$X$4),""))</f>
        <v/>
      </c>
      <c r="F166" s="51" t="str">
        <f>IF(OR(F$2="",COUNT(الرصد!$C166:$Y166)=0),"",IFERROR(SUMIF(معالجة!$B$3:$X$3,F$2,الرصد!$C166:$Y166)/SUMIF(معالجة!$B$3:$X$3,F$2,معالجة!$B$4:$X$4),""))</f>
        <v/>
      </c>
      <c r="G166" s="51" t="str">
        <f>IF(OR(G$2="",COUNT(الرصد!$C166:$Y166)=0),"",IFERROR(SUMIF(معالجة!$B$3:$X$3,G$2,الرصد!$C166:$Y166)/SUMIF(معالجة!$B$3:$X$3,G$2,معالجة!$B$4:$X$4),""))</f>
        <v/>
      </c>
      <c r="H166" s="51" t="str">
        <f>IF(OR(H$2="",COUNT(الرصد!$C166:$Y166)=0),"",IFERROR(SUMIF(معالجة!$B$3:$X$3,H$2,الرصد!$C166:$Y166)/SUMIF(معالجة!$B$3:$X$3,H$2,معالجة!$B$4:$X$4),""))</f>
        <v/>
      </c>
      <c r="I166" s="51" t="str">
        <f>IF(OR(I$2="",COUNT(الرصد!$C166:$Y166)=0),"",IFERROR(SUMIF(معالجة!$B$3:$X$3,I$2,الرصد!$C166:$Y166)/SUMIF(معالجة!$B$3:$X$3,I$2,معالجة!$B$4:$X$4),""))</f>
        <v/>
      </c>
      <c r="J166" s="51" t="str">
        <f>IF(OR(J$2="",COUNT(الرصد!$C166:$Y166)=0),"",IFERROR(SUMIF(معالجة!$B$3:$X$3,J$2,الرصد!$C166:$Y166)/SUMIF(معالجة!$B$3:$X$3,J$2,معالجة!$B$4:$X$4),""))</f>
        <v/>
      </c>
      <c r="K166" s="51" t="str">
        <f>IF(OR(K$2="",COUNT(الرصد!$C166:$Y166)=0),"",IFERROR(SUMIF(معالجة!$B$3:$X$3,K$2,الرصد!$C166:$Y166)/SUMIF(معالجة!$B$3:$X$3,K$2,معالجة!$B$4:$X$4),""))</f>
        <v/>
      </c>
      <c r="L166" s="51" t="str">
        <f>IF(OR(L$2="",COUNT(الرصد!$C166:$Y166)=0),"",IFERROR(SUMIF(معالجة!$B$3:$X$3,L$2,الرصد!$C166:$Y166)/SUMIF(معالجة!$B$3:$X$3,L$2,معالجة!$B$4:$X$4),""))</f>
        <v/>
      </c>
      <c r="M166" s="51" t="str">
        <f>IF(OR(M$2="",COUNT(الرصد!$C166:$Y166)=0),"",IFERROR(SUMIF(معالجة!$B$3:$X$3,M$2,الرصد!$C166:$Y166)/SUMIF(معالجة!$B$3:$X$3,M$2,معالجة!$B$4:$X$4),""))</f>
        <v/>
      </c>
      <c r="N166" s="51" t="str">
        <f>IF(OR(N$2="",COUNT(الرصد!$C166:$Y166)=0),"",IFERROR(SUMIF(معالجة!$B$3:$X$3,N$2,الرصد!$C166:$Y166)/SUMIF(معالجة!$B$3:$X$3,N$2,معالجة!$B$4:$X$4),""))</f>
        <v/>
      </c>
      <c r="O166" s="51" t="str">
        <f>IF(OR(O$2="",COUNT(الرصد!$C166:$Y166)=0),"",IFERROR(SUMIF(معالجة!$B$3:$X$3,O$2,الرصد!$C166:$Y166)/SUMIF(معالجة!$B$3:$X$3,O$2,معالجة!$B$4:$X$4),""))</f>
        <v/>
      </c>
      <c r="P166" s="51" t="str">
        <f>IF(OR(P$2="",COUNT(الرصد!$C166:$Y166)=0),"",IFERROR(SUMIF(معالجة!$B$3:$X$3,P$2,الرصد!$C166:$Y166)/SUMIF(معالجة!$B$3:$X$3,P$2,معالجة!$B$4:$X$4),""))</f>
        <v/>
      </c>
      <c r="Q166" s="51" t="str">
        <f>IF(OR(Q$2="",COUNT(الرصد!$C166:$Y166)=0),"",IFERROR(SUMIF(معالجة!$B$3:$X$3,Q$2,الرصد!$C166:$Y166)/SUMIF(معالجة!$B$3:$X$3,Q$2,معالجة!$B$4:$X$4),""))</f>
        <v/>
      </c>
      <c r="R166" s="51" t="str">
        <f>IF(OR(R$2="",COUNT(الرصد!$C166:$Y166)=0),"",IFERROR(SUMIF(معالجة!$B$3:$X$3,R$2,الرصد!$C166:$Y166)/SUMIF(معالجة!$B$3:$X$3,R$2,معالجة!$B$4:$X$4),""))</f>
        <v/>
      </c>
      <c r="S166" s="51" t="str">
        <f>IF(OR(S$2="",COUNT(الرصد!$C166:$Y166)=0),"",IFERROR(SUMIF(معالجة!$B$3:$X$3,S$2,الرصد!$C166:$Y166)/SUMIF(معالجة!$B$3:$X$3,S$2,معالجة!$B$4:$X$4),""))</f>
        <v/>
      </c>
      <c r="T166" s="51" t="str">
        <f>IF(OR(T$2="",COUNT(الرصد!$C166:$Y166)=0),"",IFERROR(SUMIF(معالجة!$B$3:$X$3,T$2,الرصد!$C166:$Y166)/SUMIF(معالجة!$B$3:$X$3,T$2,معالجة!$B$4:$X$4),""))</f>
        <v/>
      </c>
      <c r="U166" s="51" t="str">
        <f>IF(OR(U$2="",COUNT(الرصد!$C166:$Y166)=0),"",IFERROR(SUMIF(معالجة!$B$3:$X$3,U$2,الرصد!$C166:$Y166)/SUMIF(معالجة!$B$3:$X$3,U$2,معالجة!$B$4:$X$4),""))</f>
        <v/>
      </c>
      <c r="V166" s="51" t="str">
        <f>IF(OR(V$2="",COUNT(الرصد!$C166:$Y166)=0),"",IFERROR(SUMIF(معالجة!$B$3:$X$3,V$2,الرصد!$C166:$Y166)/SUMIF(معالجة!$B$3:$X$3,V$2,معالجة!$B$4:$X$4),""))</f>
        <v/>
      </c>
      <c r="W166" s="51" t="str">
        <f>IFERROR(C166/المهارات!$G$27,"")</f>
        <v/>
      </c>
    </row>
    <row r="167" spans="1:23" ht="14.25" customHeight="1">
      <c r="A167" s="42" t="s">
        <v>236</v>
      </c>
      <c r="B167" s="42" t="s">
        <v>24</v>
      </c>
      <c r="C167" s="50" t="str">
        <f>IF(COUNT(الرصد!C167:Y167)=0,"",SUM(الرصد!C167:Y167))</f>
        <v/>
      </c>
      <c r="D167" s="51" t="str">
        <f>IF(OR(D$2="",COUNT(الرصد!$C167:$Y167)=0),"",IFERROR(SUMIF(معالجة!$B$3:$X$3,D$2,الرصد!$C167:$Y167)/SUMIF(معالجة!$B$3:$X$3,D$2,معالجة!$B$4:$X$4),""))</f>
        <v/>
      </c>
      <c r="E167" s="51" t="str">
        <f>IF(OR(E$2="",COUNT(الرصد!$C167:$Y167)=0),"",IFERROR(SUMIF(معالجة!$B$3:$X$3,E$2,الرصد!$C167:$Y167)/SUMIF(معالجة!$B$3:$X$3,E$2,معالجة!$B$4:$X$4),""))</f>
        <v/>
      </c>
      <c r="F167" s="51" t="str">
        <f>IF(OR(F$2="",COUNT(الرصد!$C167:$Y167)=0),"",IFERROR(SUMIF(معالجة!$B$3:$X$3,F$2,الرصد!$C167:$Y167)/SUMIF(معالجة!$B$3:$X$3,F$2,معالجة!$B$4:$X$4),""))</f>
        <v/>
      </c>
      <c r="G167" s="51" t="str">
        <f>IF(OR(G$2="",COUNT(الرصد!$C167:$Y167)=0),"",IFERROR(SUMIF(معالجة!$B$3:$X$3,G$2,الرصد!$C167:$Y167)/SUMIF(معالجة!$B$3:$X$3,G$2,معالجة!$B$4:$X$4),""))</f>
        <v/>
      </c>
      <c r="H167" s="51" t="str">
        <f>IF(OR(H$2="",COUNT(الرصد!$C167:$Y167)=0),"",IFERROR(SUMIF(معالجة!$B$3:$X$3,H$2,الرصد!$C167:$Y167)/SUMIF(معالجة!$B$3:$X$3,H$2,معالجة!$B$4:$X$4),""))</f>
        <v/>
      </c>
      <c r="I167" s="51" t="str">
        <f>IF(OR(I$2="",COUNT(الرصد!$C167:$Y167)=0),"",IFERROR(SUMIF(معالجة!$B$3:$X$3,I$2,الرصد!$C167:$Y167)/SUMIF(معالجة!$B$3:$X$3,I$2,معالجة!$B$4:$X$4),""))</f>
        <v/>
      </c>
      <c r="J167" s="51" t="str">
        <f>IF(OR(J$2="",COUNT(الرصد!$C167:$Y167)=0),"",IFERROR(SUMIF(معالجة!$B$3:$X$3,J$2,الرصد!$C167:$Y167)/SUMIF(معالجة!$B$3:$X$3,J$2,معالجة!$B$4:$X$4),""))</f>
        <v/>
      </c>
      <c r="K167" s="51" t="str">
        <f>IF(OR(K$2="",COUNT(الرصد!$C167:$Y167)=0),"",IFERROR(SUMIF(معالجة!$B$3:$X$3,K$2,الرصد!$C167:$Y167)/SUMIF(معالجة!$B$3:$X$3,K$2,معالجة!$B$4:$X$4),""))</f>
        <v/>
      </c>
      <c r="L167" s="51" t="str">
        <f>IF(OR(L$2="",COUNT(الرصد!$C167:$Y167)=0),"",IFERROR(SUMIF(معالجة!$B$3:$X$3,L$2,الرصد!$C167:$Y167)/SUMIF(معالجة!$B$3:$X$3,L$2,معالجة!$B$4:$X$4),""))</f>
        <v/>
      </c>
      <c r="M167" s="51" t="str">
        <f>IF(OR(M$2="",COUNT(الرصد!$C167:$Y167)=0),"",IFERROR(SUMIF(معالجة!$B$3:$X$3,M$2,الرصد!$C167:$Y167)/SUMIF(معالجة!$B$3:$X$3,M$2,معالجة!$B$4:$X$4),""))</f>
        <v/>
      </c>
      <c r="N167" s="51" t="str">
        <f>IF(OR(N$2="",COUNT(الرصد!$C167:$Y167)=0),"",IFERROR(SUMIF(معالجة!$B$3:$X$3,N$2,الرصد!$C167:$Y167)/SUMIF(معالجة!$B$3:$X$3,N$2,معالجة!$B$4:$X$4),""))</f>
        <v/>
      </c>
      <c r="O167" s="51" t="str">
        <f>IF(OR(O$2="",COUNT(الرصد!$C167:$Y167)=0),"",IFERROR(SUMIF(معالجة!$B$3:$X$3,O$2,الرصد!$C167:$Y167)/SUMIF(معالجة!$B$3:$X$3,O$2,معالجة!$B$4:$X$4),""))</f>
        <v/>
      </c>
      <c r="P167" s="51" t="str">
        <f>IF(OR(P$2="",COUNT(الرصد!$C167:$Y167)=0),"",IFERROR(SUMIF(معالجة!$B$3:$X$3,P$2,الرصد!$C167:$Y167)/SUMIF(معالجة!$B$3:$X$3,P$2,معالجة!$B$4:$X$4),""))</f>
        <v/>
      </c>
      <c r="Q167" s="51" t="str">
        <f>IF(OR(Q$2="",COUNT(الرصد!$C167:$Y167)=0),"",IFERROR(SUMIF(معالجة!$B$3:$X$3,Q$2,الرصد!$C167:$Y167)/SUMIF(معالجة!$B$3:$X$3,Q$2,معالجة!$B$4:$X$4),""))</f>
        <v/>
      </c>
      <c r="R167" s="51" t="str">
        <f>IF(OR(R$2="",COUNT(الرصد!$C167:$Y167)=0),"",IFERROR(SUMIF(معالجة!$B$3:$X$3,R$2,الرصد!$C167:$Y167)/SUMIF(معالجة!$B$3:$X$3,R$2,معالجة!$B$4:$X$4),""))</f>
        <v/>
      </c>
      <c r="S167" s="51" t="str">
        <f>IF(OR(S$2="",COUNT(الرصد!$C167:$Y167)=0),"",IFERROR(SUMIF(معالجة!$B$3:$X$3,S$2,الرصد!$C167:$Y167)/SUMIF(معالجة!$B$3:$X$3,S$2,معالجة!$B$4:$X$4),""))</f>
        <v/>
      </c>
      <c r="T167" s="51" t="str">
        <f>IF(OR(T$2="",COUNT(الرصد!$C167:$Y167)=0),"",IFERROR(SUMIF(معالجة!$B$3:$X$3,T$2,الرصد!$C167:$Y167)/SUMIF(معالجة!$B$3:$X$3,T$2,معالجة!$B$4:$X$4),""))</f>
        <v/>
      </c>
      <c r="U167" s="51" t="str">
        <f>IF(OR(U$2="",COUNT(الرصد!$C167:$Y167)=0),"",IFERROR(SUMIF(معالجة!$B$3:$X$3,U$2,الرصد!$C167:$Y167)/SUMIF(معالجة!$B$3:$X$3,U$2,معالجة!$B$4:$X$4),""))</f>
        <v/>
      </c>
      <c r="V167" s="51" t="str">
        <f>IF(OR(V$2="",COUNT(الرصد!$C167:$Y167)=0),"",IFERROR(SUMIF(معالجة!$B$3:$X$3,V$2,الرصد!$C167:$Y167)/SUMIF(معالجة!$B$3:$X$3,V$2,معالجة!$B$4:$X$4),""))</f>
        <v/>
      </c>
      <c r="W167" s="51" t="str">
        <f>IFERROR(C167/المهارات!$G$27,"")</f>
        <v/>
      </c>
    </row>
    <row r="168" spans="1:23" ht="14.25" customHeight="1">
      <c r="A168" s="46" t="s">
        <v>237</v>
      </c>
      <c r="B168" s="46" t="s">
        <v>24</v>
      </c>
      <c r="C168" s="52" t="str">
        <f>IF(COUNT(الرصد!C168:Y168)=0,"",SUM(الرصد!C168:Y168))</f>
        <v/>
      </c>
      <c r="D168" s="51" t="str">
        <f>IF(OR(D$2="",COUNT(الرصد!$C168:$Y168)=0),"",IFERROR(SUMIF(معالجة!$B$3:$X$3,D$2,الرصد!$C168:$Y168)/SUMIF(معالجة!$B$3:$X$3,D$2,معالجة!$B$4:$X$4),""))</f>
        <v/>
      </c>
      <c r="E168" s="51" t="str">
        <f>IF(OR(E$2="",COUNT(الرصد!$C168:$Y168)=0),"",IFERROR(SUMIF(معالجة!$B$3:$X$3,E$2,الرصد!$C168:$Y168)/SUMIF(معالجة!$B$3:$X$3,E$2,معالجة!$B$4:$X$4),""))</f>
        <v/>
      </c>
      <c r="F168" s="51" t="str">
        <f>IF(OR(F$2="",COUNT(الرصد!$C168:$Y168)=0),"",IFERROR(SUMIF(معالجة!$B$3:$X$3,F$2,الرصد!$C168:$Y168)/SUMIF(معالجة!$B$3:$X$3,F$2,معالجة!$B$4:$X$4),""))</f>
        <v/>
      </c>
      <c r="G168" s="51" t="str">
        <f>IF(OR(G$2="",COUNT(الرصد!$C168:$Y168)=0),"",IFERROR(SUMIF(معالجة!$B$3:$X$3,G$2,الرصد!$C168:$Y168)/SUMIF(معالجة!$B$3:$X$3,G$2,معالجة!$B$4:$X$4),""))</f>
        <v/>
      </c>
      <c r="H168" s="51" t="str">
        <f>IF(OR(H$2="",COUNT(الرصد!$C168:$Y168)=0),"",IFERROR(SUMIF(معالجة!$B$3:$X$3,H$2,الرصد!$C168:$Y168)/SUMIF(معالجة!$B$3:$X$3,H$2,معالجة!$B$4:$X$4),""))</f>
        <v/>
      </c>
      <c r="I168" s="51" t="str">
        <f>IF(OR(I$2="",COUNT(الرصد!$C168:$Y168)=0),"",IFERROR(SUMIF(معالجة!$B$3:$X$3,I$2,الرصد!$C168:$Y168)/SUMIF(معالجة!$B$3:$X$3,I$2,معالجة!$B$4:$X$4),""))</f>
        <v/>
      </c>
      <c r="J168" s="51" t="str">
        <f>IF(OR(J$2="",COUNT(الرصد!$C168:$Y168)=0),"",IFERROR(SUMIF(معالجة!$B$3:$X$3,J$2,الرصد!$C168:$Y168)/SUMIF(معالجة!$B$3:$X$3,J$2,معالجة!$B$4:$X$4),""))</f>
        <v/>
      </c>
      <c r="K168" s="51" t="str">
        <f>IF(OR(K$2="",COUNT(الرصد!$C168:$Y168)=0),"",IFERROR(SUMIF(معالجة!$B$3:$X$3,K$2,الرصد!$C168:$Y168)/SUMIF(معالجة!$B$3:$X$3,K$2,معالجة!$B$4:$X$4),""))</f>
        <v/>
      </c>
      <c r="L168" s="51" t="str">
        <f>IF(OR(L$2="",COUNT(الرصد!$C168:$Y168)=0),"",IFERROR(SUMIF(معالجة!$B$3:$X$3,L$2,الرصد!$C168:$Y168)/SUMIF(معالجة!$B$3:$X$3,L$2,معالجة!$B$4:$X$4),""))</f>
        <v/>
      </c>
      <c r="M168" s="51" t="str">
        <f>IF(OR(M$2="",COUNT(الرصد!$C168:$Y168)=0),"",IFERROR(SUMIF(معالجة!$B$3:$X$3,M$2,الرصد!$C168:$Y168)/SUMIF(معالجة!$B$3:$X$3,M$2,معالجة!$B$4:$X$4),""))</f>
        <v/>
      </c>
      <c r="N168" s="51" t="str">
        <f>IF(OR(N$2="",COUNT(الرصد!$C168:$Y168)=0),"",IFERROR(SUMIF(معالجة!$B$3:$X$3,N$2,الرصد!$C168:$Y168)/SUMIF(معالجة!$B$3:$X$3,N$2,معالجة!$B$4:$X$4),""))</f>
        <v/>
      </c>
      <c r="O168" s="51" t="str">
        <f>IF(OR(O$2="",COUNT(الرصد!$C168:$Y168)=0),"",IFERROR(SUMIF(معالجة!$B$3:$X$3,O$2,الرصد!$C168:$Y168)/SUMIF(معالجة!$B$3:$X$3,O$2,معالجة!$B$4:$X$4),""))</f>
        <v/>
      </c>
      <c r="P168" s="51" t="str">
        <f>IF(OR(P$2="",COUNT(الرصد!$C168:$Y168)=0),"",IFERROR(SUMIF(معالجة!$B$3:$X$3,P$2,الرصد!$C168:$Y168)/SUMIF(معالجة!$B$3:$X$3,P$2,معالجة!$B$4:$X$4),""))</f>
        <v/>
      </c>
      <c r="Q168" s="51" t="str">
        <f>IF(OR(Q$2="",COUNT(الرصد!$C168:$Y168)=0),"",IFERROR(SUMIF(معالجة!$B$3:$X$3,Q$2,الرصد!$C168:$Y168)/SUMIF(معالجة!$B$3:$X$3,Q$2,معالجة!$B$4:$X$4),""))</f>
        <v/>
      </c>
      <c r="R168" s="51" t="str">
        <f>IF(OR(R$2="",COUNT(الرصد!$C168:$Y168)=0),"",IFERROR(SUMIF(معالجة!$B$3:$X$3,R$2,الرصد!$C168:$Y168)/SUMIF(معالجة!$B$3:$X$3,R$2,معالجة!$B$4:$X$4),""))</f>
        <v/>
      </c>
      <c r="S168" s="51" t="str">
        <f>IF(OR(S$2="",COUNT(الرصد!$C168:$Y168)=0),"",IFERROR(SUMIF(معالجة!$B$3:$X$3,S$2,الرصد!$C168:$Y168)/SUMIF(معالجة!$B$3:$X$3,S$2,معالجة!$B$4:$X$4),""))</f>
        <v/>
      </c>
      <c r="T168" s="51" t="str">
        <f>IF(OR(T$2="",COUNT(الرصد!$C168:$Y168)=0),"",IFERROR(SUMIF(معالجة!$B$3:$X$3,T$2,الرصد!$C168:$Y168)/SUMIF(معالجة!$B$3:$X$3,T$2,معالجة!$B$4:$X$4),""))</f>
        <v/>
      </c>
      <c r="U168" s="51" t="str">
        <f>IF(OR(U$2="",COUNT(الرصد!$C168:$Y168)=0),"",IFERROR(SUMIF(معالجة!$B$3:$X$3,U$2,الرصد!$C168:$Y168)/SUMIF(معالجة!$B$3:$X$3,U$2,معالجة!$B$4:$X$4),""))</f>
        <v/>
      </c>
      <c r="V168" s="51" t="str">
        <f>IF(OR(V$2="",COUNT(الرصد!$C168:$Y168)=0),"",IFERROR(SUMIF(معالجة!$B$3:$X$3,V$2,الرصد!$C168:$Y168)/SUMIF(معالجة!$B$3:$X$3,V$2,معالجة!$B$4:$X$4),""))</f>
        <v/>
      </c>
      <c r="W168" s="51" t="str">
        <f>IFERROR(C168/المهارات!$G$27,"")</f>
        <v/>
      </c>
    </row>
    <row r="169" spans="1:23" ht="14.25" customHeight="1">
      <c r="A169" s="42" t="s">
        <v>238</v>
      </c>
      <c r="B169" s="42" t="s">
        <v>24</v>
      </c>
      <c r="C169" s="50" t="str">
        <f>IF(COUNT(الرصد!C169:Y169)=0,"",SUM(الرصد!C169:Y169))</f>
        <v/>
      </c>
      <c r="D169" s="51" t="str">
        <f>IF(OR(D$2="",COUNT(الرصد!$C169:$Y169)=0),"",IFERROR(SUMIF(معالجة!$B$3:$X$3,D$2,الرصد!$C169:$Y169)/SUMIF(معالجة!$B$3:$X$3,D$2,معالجة!$B$4:$X$4),""))</f>
        <v/>
      </c>
      <c r="E169" s="51" t="str">
        <f>IF(OR(E$2="",COUNT(الرصد!$C169:$Y169)=0),"",IFERROR(SUMIF(معالجة!$B$3:$X$3,E$2,الرصد!$C169:$Y169)/SUMIF(معالجة!$B$3:$X$3,E$2,معالجة!$B$4:$X$4),""))</f>
        <v/>
      </c>
      <c r="F169" s="51" t="str">
        <f>IF(OR(F$2="",COUNT(الرصد!$C169:$Y169)=0),"",IFERROR(SUMIF(معالجة!$B$3:$X$3,F$2,الرصد!$C169:$Y169)/SUMIF(معالجة!$B$3:$X$3,F$2,معالجة!$B$4:$X$4),""))</f>
        <v/>
      </c>
      <c r="G169" s="51" t="str">
        <f>IF(OR(G$2="",COUNT(الرصد!$C169:$Y169)=0),"",IFERROR(SUMIF(معالجة!$B$3:$X$3,G$2,الرصد!$C169:$Y169)/SUMIF(معالجة!$B$3:$X$3,G$2,معالجة!$B$4:$X$4),""))</f>
        <v/>
      </c>
      <c r="H169" s="51" t="str">
        <f>IF(OR(H$2="",COUNT(الرصد!$C169:$Y169)=0),"",IFERROR(SUMIF(معالجة!$B$3:$X$3,H$2,الرصد!$C169:$Y169)/SUMIF(معالجة!$B$3:$X$3,H$2,معالجة!$B$4:$X$4),""))</f>
        <v/>
      </c>
      <c r="I169" s="51" t="str">
        <f>IF(OR(I$2="",COUNT(الرصد!$C169:$Y169)=0),"",IFERROR(SUMIF(معالجة!$B$3:$X$3,I$2,الرصد!$C169:$Y169)/SUMIF(معالجة!$B$3:$X$3,I$2,معالجة!$B$4:$X$4),""))</f>
        <v/>
      </c>
      <c r="J169" s="51" t="str">
        <f>IF(OR(J$2="",COUNT(الرصد!$C169:$Y169)=0),"",IFERROR(SUMIF(معالجة!$B$3:$X$3,J$2,الرصد!$C169:$Y169)/SUMIF(معالجة!$B$3:$X$3,J$2,معالجة!$B$4:$X$4),""))</f>
        <v/>
      </c>
      <c r="K169" s="51" t="str">
        <f>IF(OR(K$2="",COUNT(الرصد!$C169:$Y169)=0),"",IFERROR(SUMIF(معالجة!$B$3:$X$3,K$2,الرصد!$C169:$Y169)/SUMIF(معالجة!$B$3:$X$3,K$2,معالجة!$B$4:$X$4),""))</f>
        <v/>
      </c>
      <c r="L169" s="51" t="str">
        <f>IF(OR(L$2="",COUNT(الرصد!$C169:$Y169)=0),"",IFERROR(SUMIF(معالجة!$B$3:$X$3,L$2,الرصد!$C169:$Y169)/SUMIF(معالجة!$B$3:$X$3,L$2,معالجة!$B$4:$X$4),""))</f>
        <v/>
      </c>
      <c r="M169" s="51" t="str">
        <f>IF(OR(M$2="",COUNT(الرصد!$C169:$Y169)=0),"",IFERROR(SUMIF(معالجة!$B$3:$X$3,M$2,الرصد!$C169:$Y169)/SUMIF(معالجة!$B$3:$X$3,M$2,معالجة!$B$4:$X$4),""))</f>
        <v/>
      </c>
      <c r="N169" s="51" t="str">
        <f>IF(OR(N$2="",COUNT(الرصد!$C169:$Y169)=0),"",IFERROR(SUMIF(معالجة!$B$3:$X$3,N$2,الرصد!$C169:$Y169)/SUMIF(معالجة!$B$3:$X$3,N$2,معالجة!$B$4:$X$4),""))</f>
        <v/>
      </c>
      <c r="O169" s="51" t="str">
        <f>IF(OR(O$2="",COUNT(الرصد!$C169:$Y169)=0),"",IFERROR(SUMIF(معالجة!$B$3:$X$3,O$2,الرصد!$C169:$Y169)/SUMIF(معالجة!$B$3:$X$3,O$2,معالجة!$B$4:$X$4),""))</f>
        <v/>
      </c>
      <c r="P169" s="51" t="str">
        <f>IF(OR(P$2="",COUNT(الرصد!$C169:$Y169)=0),"",IFERROR(SUMIF(معالجة!$B$3:$X$3,P$2,الرصد!$C169:$Y169)/SUMIF(معالجة!$B$3:$X$3,P$2,معالجة!$B$4:$X$4),""))</f>
        <v/>
      </c>
      <c r="Q169" s="51" t="str">
        <f>IF(OR(Q$2="",COUNT(الرصد!$C169:$Y169)=0),"",IFERROR(SUMIF(معالجة!$B$3:$X$3,Q$2,الرصد!$C169:$Y169)/SUMIF(معالجة!$B$3:$X$3,Q$2,معالجة!$B$4:$X$4),""))</f>
        <v/>
      </c>
      <c r="R169" s="51" t="str">
        <f>IF(OR(R$2="",COUNT(الرصد!$C169:$Y169)=0),"",IFERROR(SUMIF(معالجة!$B$3:$X$3,R$2,الرصد!$C169:$Y169)/SUMIF(معالجة!$B$3:$X$3,R$2,معالجة!$B$4:$X$4),""))</f>
        <v/>
      </c>
      <c r="S169" s="51" t="str">
        <f>IF(OR(S$2="",COUNT(الرصد!$C169:$Y169)=0),"",IFERROR(SUMIF(معالجة!$B$3:$X$3,S$2,الرصد!$C169:$Y169)/SUMIF(معالجة!$B$3:$X$3,S$2,معالجة!$B$4:$X$4),""))</f>
        <v/>
      </c>
      <c r="T169" s="51" t="str">
        <f>IF(OR(T$2="",COUNT(الرصد!$C169:$Y169)=0),"",IFERROR(SUMIF(معالجة!$B$3:$X$3,T$2,الرصد!$C169:$Y169)/SUMIF(معالجة!$B$3:$X$3,T$2,معالجة!$B$4:$X$4),""))</f>
        <v/>
      </c>
      <c r="U169" s="51" t="str">
        <f>IF(OR(U$2="",COUNT(الرصد!$C169:$Y169)=0),"",IFERROR(SUMIF(معالجة!$B$3:$X$3,U$2,الرصد!$C169:$Y169)/SUMIF(معالجة!$B$3:$X$3,U$2,معالجة!$B$4:$X$4),""))</f>
        <v/>
      </c>
      <c r="V169" s="51" t="str">
        <f>IF(OR(V$2="",COUNT(الرصد!$C169:$Y169)=0),"",IFERROR(SUMIF(معالجة!$B$3:$X$3,V$2,الرصد!$C169:$Y169)/SUMIF(معالجة!$B$3:$X$3,V$2,معالجة!$B$4:$X$4),""))</f>
        <v/>
      </c>
      <c r="W169" s="51" t="str">
        <f>IFERROR(C169/المهارات!$G$27,"")</f>
        <v/>
      </c>
    </row>
    <row r="170" spans="1:23" ht="14.25" customHeight="1">
      <c r="A170" s="46" t="s">
        <v>239</v>
      </c>
      <c r="B170" s="46" t="s">
        <v>24</v>
      </c>
      <c r="C170" s="52" t="str">
        <f>IF(COUNT(الرصد!C170:Y170)=0,"",SUM(الرصد!C170:Y170))</f>
        <v/>
      </c>
      <c r="D170" s="51" t="str">
        <f>IF(OR(D$2="",COUNT(الرصد!$C170:$Y170)=0),"",IFERROR(SUMIF(معالجة!$B$3:$X$3,D$2,الرصد!$C170:$Y170)/SUMIF(معالجة!$B$3:$X$3,D$2,معالجة!$B$4:$X$4),""))</f>
        <v/>
      </c>
      <c r="E170" s="51" t="str">
        <f>IF(OR(E$2="",COUNT(الرصد!$C170:$Y170)=0),"",IFERROR(SUMIF(معالجة!$B$3:$X$3,E$2,الرصد!$C170:$Y170)/SUMIF(معالجة!$B$3:$X$3,E$2,معالجة!$B$4:$X$4),""))</f>
        <v/>
      </c>
      <c r="F170" s="51" t="str">
        <f>IF(OR(F$2="",COUNT(الرصد!$C170:$Y170)=0),"",IFERROR(SUMIF(معالجة!$B$3:$X$3,F$2,الرصد!$C170:$Y170)/SUMIF(معالجة!$B$3:$X$3,F$2,معالجة!$B$4:$X$4),""))</f>
        <v/>
      </c>
      <c r="G170" s="51" t="str">
        <f>IF(OR(G$2="",COUNT(الرصد!$C170:$Y170)=0),"",IFERROR(SUMIF(معالجة!$B$3:$X$3,G$2,الرصد!$C170:$Y170)/SUMIF(معالجة!$B$3:$X$3,G$2,معالجة!$B$4:$X$4),""))</f>
        <v/>
      </c>
      <c r="H170" s="51" t="str">
        <f>IF(OR(H$2="",COUNT(الرصد!$C170:$Y170)=0),"",IFERROR(SUMIF(معالجة!$B$3:$X$3,H$2,الرصد!$C170:$Y170)/SUMIF(معالجة!$B$3:$X$3,H$2,معالجة!$B$4:$X$4),""))</f>
        <v/>
      </c>
      <c r="I170" s="51" t="str">
        <f>IF(OR(I$2="",COUNT(الرصد!$C170:$Y170)=0),"",IFERROR(SUMIF(معالجة!$B$3:$X$3,I$2,الرصد!$C170:$Y170)/SUMIF(معالجة!$B$3:$X$3,I$2,معالجة!$B$4:$X$4),""))</f>
        <v/>
      </c>
      <c r="J170" s="51" t="str">
        <f>IF(OR(J$2="",COUNT(الرصد!$C170:$Y170)=0),"",IFERROR(SUMIF(معالجة!$B$3:$X$3,J$2,الرصد!$C170:$Y170)/SUMIF(معالجة!$B$3:$X$3,J$2,معالجة!$B$4:$X$4),""))</f>
        <v/>
      </c>
      <c r="K170" s="51" t="str">
        <f>IF(OR(K$2="",COUNT(الرصد!$C170:$Y170)=0),"",IFERROR(SUMIF(معالجة!$B$3:$X$3,K$2,الرصد!$C170:$Y170)/SUMIF(معالجة!$B$3:$X$3,K$2,معالجة!$B$4:$X$4),""))</f>
        <v/>
      </c>
      <c r="L170" s="51" t="str">
        <f>IF(OR(L$2="",COUNT(الرصد!$C170:$Y170)=0),"",IFERROR(SUMIF(معالجة!$B$3:$X$3,L$2,الرصد!$C170:$Y170)/SUMIF(معالجة!$B$3:$X$3,L$2,معالجة!$B$4:$X$4),""))</f>
        <v/>
      </c>
      <c r="M170" s="51" t="str">
        <f>IF(OR(M$2="",COUNT(الرصد!$C170:$Y170)=0),"",IFERROR(SUMIF(معالجة!$B$3:$X$3,M$2,الرصد!$C170:$Y170)/SUMIF(معالجة!$B$3:$X$3,M$2,معالجة!$B$4:$X$4),""))</f>
        <v/>
      </c>
      <c r="N170" s="51" t="str">
        <f>IF(OR(N$2="",COUNT(الرصد!$C170:$Y170)=0),"",IFERROR(SUMIF(معالجة!$B$3:$X$3,N$2,الرصد!$C170:$Y170)/SUMIF(معالجة!$B$3:$X$3,N$2,معالجة!$B$4:$X$4),""))</f>
        <v/>
      </c>
      <c r="O170" s="51" t="str">
        <f>IF(OR(O$2="",COUNT(الرصد!$C170:$Y170)=0),"",IFERROR(SUMIF(معالجة!$B$3:$X$3,O$2,الرصد!$C170:$Y170)/SUMIF(معالجة!$B$3:$X$3,O$2,معالجة!$B$4:$X$4),""))</f>
        <v/>
      </c>
      <c r="P170" s="51" t="str">
        <f>IF(OR(P$2="",COUNT(الرصد!$C170:$Y170)=0),"",IFERROR(SUMIF(معالجة!$B$3:$X$3,P$2,الرصد!$C170:$Y170)/SUMIF(معالجة!$B$3:$X$3,P$2,معالجة!$B$4:$X$4),""))</f>
        <v/>
      </c>
      <c r="Q170" s="51" t="str">
        <f>IF(OR(Q$2="",COUNT(الرصد!$C170:$Y170)=0),"",IFERROR(SUMIF(معالجة!$B$3:$X$3,Q$2,الرصد!$C170:$Y170)/SUMIF(معالجة!$B$3:$X$3,Q$2,معالجة!$B$4:$X$4),""))</f>
        <v/>
      </c>
      <c r="R170" s="51" t="str">
        <f>IF(OR(R$2="",COUNT(الرصد!$C170:$Y170)=0),"",IFERROR(SUMIF(معالجة!$B$3:$X$3,R$2,الرصد!$C170:$Y170)/SUMIF(معالجة!$B$3:$X$3,R$2,معالجة!$B$4:$X$4),""))</f>
        <v/>
      </c>
      <c r="S170" s="51" t="str">
        <f>IF(OR(S$2="",COUNT(الرصد!$C170:$Y170)=0),"",IFERROR(SUMIF(معالجة!$B$3:$X$3,S$2,الرصد!$C170:$Y170)/SUMIF(معالجة!$B$3:$X$3,S$2,معالجة!$B$4:$X$4),""))</f>
        <v/>
      </c>
      <c r="T170" s="51" t="str">
        <f>IF(OR(T$2="",COUNT(الرصد!$C170:$Y170)=0),"",IFERROR(SUMIF(معالجة!$B$3:$X$3,T$2,الرصد!$C170:$Y170)/SUMIF(معالجة!$B$3:$X$3,T$2,معالجة!$B$4:$X$4),""))</f>
        <v/>
      </c>
      <c r="U170" s="51" t="str">
        <f>IF(OR(U$2="",COUNT(الرصد!$C170:$Y170)=0),"",IFERROR(SUMIF(معالجة!$B$3:$X$3,U$2,الرصد!$C170:$Y170)/SUMIF(معالجة!$B$3:$X$3,U$2,معالجة!$B$4:$X$4),""))</f>
        <v/>
      </c>
      <c r="V170" s="51" t="str">
        <f>IF(OR(V$2="",COUNT(الرصد!$C170:$Y170)=0),"",IFERROR(SUMIF(معالجة!$B$3:$X$3,V$2,الرصد!$C170:$Y170)/SUMIF(معالجة!$B$3:$X$3,V$2,معالجة!$B$4:$X$4),""))</f>
        <v/>
      </c>
      <c r="W170" s="51" t="str">
        <f>IFERROR(C170/المهارات!$G$27,"")</f>
        <v/>
      </c>
    </row>
    <row r="171" spans="1:23" ht="14.25" customHeight="1">
      <c r="A171" s="42" t="s">
        <v>240</v>
      </c>
      <c r="B171" s="42" t="s">
        <v>24</v>
      </c>
      <c r="C171" s="50" t="str">
        <f>IF(COUNT(الرصد!C171:Y171)=0,"",SUM(الرصد!C171:Y171))</f>
        <v/>
      </c>
      <c r="D171" s="51" t="str">
        <f>IF(OR(D$2="",COUNT(الرصد!$C171:$Y171)=0),"",IFERROR(SUMIF(معالجة!$B$3:$X$3,D$2,الرصد!$C171:$Y171)/SUMIF(معالجة!$B$3:$X$3,D$2,معالجة!$B$4:$X$4),""))</f>
        <v/>
      </c>
      <c r="E171" s="51" t="str">
        <f>IF(OR(E$2="",COUNT(الرصد!$C171:$Y171)=0),"",IFERROR(SUMIF(معالجة!$B$3:$X$3,E$2,الرصد!$C171:$Y171)/SUMIF(معالجة!$B$3:$X$3,E$2,معالجة!$B$4:$X$4),""))</f>
        <v/>
      </c>
      <c r="F171" s="51" t="str">
        <f>IF(OR(F$2="",COUNT(الرصد!$C171:$Y171)=0),"",IFERROR(SUMIF(معالجة!$B$3:$X$3,F$2,الرصد!$C171:$Y171)/SUMIF(معالجة!$B$3:$X$3,F$2,معالجة!$B$4:$X$4),""))</f>
        <v/>
      </c>
      <c r="G171" s="51" t="str">
        <f>IF(OR(G$2="",COUNT(الرصد!$C171:$Y171)=0),"",IFERROR(SUMIF(معالجة!$B$3:$X$3,G$2,الرصد!$C171:$Y171)/SUMIF(معالجة!$B$3:$X$3,G$2,معالجة!$B$4:$X$4),""))</f>
        <v/>
      </c>
      <c r="H171" s="51" t="str">
        <f>IF(OR(H$2="",COUNT(الرصد!$C171:$Y171)=0),"",IFERROR(SUMIF(معالجة!$B$3:$X$3,H$2,الرصد!$C171:$Y171)/SUMIF(معالجة!$B$3:$X$3,H$2,معالجة!$B$4:$X$4),""))</f>
        <v/>
      </c>
      <c r="I171" s="51" t="str">
        <f>IF(OR(I$2="",COUNT(الرصد!$C171:$Y171)=0),"",IFERROR(SUMIF(معالجة!$B$3:$X$3,I$2,الرصد!$C171:$Y171)/SUMIF(معالجة!$B$3:$X$3,I$2,معالجة!$B$4:$X$4),""))</f>
        <v/>
      </c>
      <c r="J171" s="51" t="str">
        <f>IF(OR(J$2="",COUNT(الرصد!$C171:$Y171)=0),"",IFERROR(SUMIF(معالجة!$B$3:$X$3,J$2,الرصد!$C171:$Y171)/SUMIF(معالجة!$B$3:$X$3,J$2,معالجة!$B$4:$X$4),""))</f>
        <v/>
      </c>
      <c r="K171" s="51" t="str">
        <f>IF(OR(K$2="",COUNT(الرصد!$C171:$Y171)=0),"",IFERROR(SUMIF(معالجة!$B$3:$X$3,K$2,الرصد!$C171:$Y171)/SUMIF(معالجة!$B$3:$X$3,K$2,معالجة!$B$4:$X$4),""))</f>
        <v/>
      </c>
      <c r="L171" s="51" t="str">
        <f>IF(OR(L$2="",COUNT(الرصد!$C171:$Y171)=0),"",IFERROR(SUMIF(معالجة!$B$3:$X$3,L$2,الرصد!$C171:$Y171)/SUMIF(معالجة!$B$3:$X$3,L$2,معالجة!$B$4:$X$4),""))</f>
        <v/>
      </c>
      <c r="M171" s="51" t="str">
        <f>IF(OR(M$2="",COUNT(الرصد!$C171:$Y171)=0),"",IFERROR(SUMIF(معالجة!$B$3:$X$3,M$2,الرصد!$C171:$Y171)/SUMIF(معالجة!$B$3:$X$3,M$2,معالجة!$B$4:$X$4),""))</f>
        <v/>
      </c>
      <c r="N171" s="51" t="str">
        <f>IF(OR(N$2="",COUNT(الرصد!$C171:$Y171)=0),"",IFERROR(SUMIF(معالجة!$B$3:$X$3,N$2,الرصد!$C171:$Y171)/SUMIF(معالجة!$B$3:$X$3,N$2,معالجة!$B$4:$X$4),""))</f>
        <v/>
      </c>
      <c r="O171" s="51" t="str">
        <f>IF(OR(O$2="",COUNT(الرصد!$C171:$Y171)=0),"",IFERROR(SUMIF(معالجة!$B$3:$X$3,O$2,الرصد!$C171:$Y171)/SUMIF(معالجة!$B$3:$X$3,O$2,معالجة!$B$4:$X$4),""))</f>
        <v/>
      </c>
      <c r="P171" s="51" t="str">
        <f>IF(OR(P$2="",COUNT(الرصد!$C171:$Y171)=0),"",IFERROR(SUMIF(معالجة!$B$3:$X$3,P$2,الرصد!$C171:$Y171)/SUMIF(معالجة!$B$3:$X$3,P$2,معالجة!$B$4:$X$4),""))</f>
        <v/>
      </c>
      <c r="Q171" s="51" t="str">
        <f>IF(OR(Q$2="",COUNT(الرصد!$C171:$Y171)=0),"",IFERROR(SUMIF(معالجة!$B$3:$X$3,Q$2,الرصد!$C171:$Y171)/SUMIF(معالجة!$B$3:$X$3,Q$2,معالجة!$B$4:$X$4),""))</f>
        <v/>
      </c>
      <c r="R171" s="51" t="str">
        <f>IF(OR(R$2="",COUNT(الرصد!$C171:$Y171)=0),"",IFERROR(SUMIF(معالجة!$B$3:$X$3,R$2,الرصد!$C171:$Y171)/SUMIF(معالجة!$B$3:$X$3,R$2,معالجة!$B$4:$X$4),""))</f>
        <v/>
      </c>
      <c r="S171" s="51" t="str">
        <f>IF(OR(S$2="",COUNT(الرصد!$C171:$Y171)=0),"",IFERROR(SUMIF(معالجة!$B$3:$X$3,S$2,الرصد!$C171:$Y171)/SUMIF(معالجة!$B$3:$X$3,S$2,معالجة!$B$4:$X$4),""))</f>
        <v/>
      </c>
      <c r="T171" s="51" t="str">
        <f>IF(OR(T$2="",COUNT(الرصد!$C171:$Y171)=0),"",IFERROR(SUMIF(معالجة!$B$3:$X$3,T$2,الرصد!$C171:$Y171)/SUMIF(معالجة!$B$3:$X$3,T$2,معالجة!$B$4:$X$4),""))</f>
        <v/>
      </c>
      <c r="U171" s="51" t="str">
        <f>IF(OR(U$2="",COUNT(الرصد!$C171:$Y171)=0),"",IFERROR(SUMIF(معالجة!$B$3:$X$3,U$2,الرصد!$C171:$Y171)/SUMIF(معالجة!$B$3:$X$3,U$2,معالجة!$B$4:$X$4),""))</f>
        <v/>
      </c>
      <c r="V171" s="51" t="str">
        <f>IF(OR(V$2="",COUNT(الرصد!$C171:$Y171)=0),"",IFERROR(SUMIF(معالجة!$B$3:$X$3,V$2,الرصد!$C171:$Y171)/SUMIF(معالجة!$B$3:$X$3,V$2,معالجة!$B$4:$X$4),""))</f>
        <v/>
      </c>
      <c r="W171" s="51" t="str">
        <f>IFERROR(C171/المهارات!$G$27,"")</f>
        <v/>
      </c>
    </row>
    <row r="172" spans="1:23" ht="14.25" customHeight="1">
      <c r="A172" s="46" t="s">
        <v>241</v>
      </c>
      <c r="B172" s="46" t="s">
        <v>24</v>
      </c>
      <c r="C172" s="52" t="str">
        <f>IF(COUNT(الرصد!C172:Y172)=0,"",SUM(الرصد!C172:Y172))</f>
        <v/>
      </c>
      <c r="D172" s="51" t="str">
        <f>IF(OR(D$2="",COUNT(الرصد!$C172:$Y172)=0),"",IFERROR(SUMIF(معالجة!$B$3:$X$3,D$2,الرصد!$C172:$Y172)/SUMIF(معالجة!$B$3:$X$3,D$2,معالجة!$B$4:$X$4),""))</f>
        <v/>
      </c>
      <c r="E172" s="51" t="str">
        <f>IF(OR(E$2="",COUNT(الرصد!$C172:$Y172)=0),"",IFERROR(SUMIF(معالجة!$B$3:$X$3,E$2,الرصد!$C172:$Y172)/SUMIF(معالجة!$B$3:$X$3,E$2,معالجة!$B$4:$X$4),""))</f>
        <v/>
      </c>
      <c r="F172" s="51" t="str">
        <f>IF(OR(F$2="",COUNT(الرصد!$C172:$Y172)=0),"",IFERROR(SUMIF(معالجة!$B$3:$X$3,F$2,الرصد!$C172:$Y172)/SUMIF(معالجة!$B$3:$X$3,F$2,معالجة!$B$4:$X$4),""))</f>
        <v/>
      </c>
      <c r="G172" s="51" t="str">
        <f>IF(OR(G$2="",COUNT(الرصد!$C172:$Y172)=0),"",IFERROR(SUMIF(معالجة!$B$3:$X$3,G$2,الرصد!$C172:$Y172)/SUMIF(معالجة!$B$3:$X$3,G$2,معالجة!$B$4:$X$4),""))</f>
        <v/>
      </c>
      <c r="H172" s="51" t="str">
        <f>IF(OR(H$2="",COUNT(الرصد!$C172:$Y172)=0),"",IFERROR(SUMIF(معالجة!$B$3:$X$3,H$2,الرصد!$C172:$Y172)/SUMIF(معالجة!$B$3:$X$3,H$2,معالجة!$B$4:$X$4),""))</f>
        <v/>
      </c>
      <c r="I172" s="51" t="str">
        <f>IF(OR(I$2="",COUNT(الرصد!$C172:$Y172)=0),"",IFERROR(SUMIF(معالجة!$B$3:$X$3,I$2,الرصد!$C172:$Y172)/SUMIF(معالجة!$B$3:$X$3,I$2,معالجة!$B$4:$X$4),""))</f>
        <v/>
      </c>
      <c r="J172" s="51" t="str">
        <f>IF(OR(J$2="",COUNT(الرصد!$C172:$Y172)=0),"",IFERROR(SUMIF(معالجة!$B$3:$X$3,J$2,الرصد!$C172:$Y172)/SUMIF(معالجة!$B$3:$X$3,J$2,معالجة!$B$4:$X$4),""))</f>
        <v/>
      </c>
      <c r="K172" s="51" t="str">
        <f>IF(OR(K$2="",COUNT(الرصد!$C172:$Y172)=0),"",IFERROR(SUMIF(معالجة!$B$3:$X$3,K$2,الرصد!$C172:$Y172)/SUMIF(معالجة!$B$3:$X$3,K$2,معالجة!$B$4:$X$4),""))</f>
        <v/>
      </c>
      <c r="L172" s="51" t="str">
        <f>IF(OR(L$2="",COUNT(الرصد!$C172:$Y172)=0),"",IFERROR(SUMIF(معالجة!$B$3:$X$3,L$2,الرصد!$C172:$Y172)/SUMIF(معالجة!$B$3:$X$3,L$2,معالجة!$B$4:$X$4),""))</f>
        <v/>
      </c>
      <c r="M172" s="51" t="str">
        <f>IF(OR(M$2="",COUNT(الرصد!$C172:$Y172)=0),"",IFERROR(SUMIF(معالجة!$B$3:$X$3,M$2,الرصد!$C172:$Y172)/SUMIF(معالجة!$B$3:$X$3,M$2,معالجة!$B$4:$X$4),""))</f>
        <v/>
      </c>
      <c r="N172" s="51" t="str">
        <f>IF(OR(N$2="",COUNT(الرصد!$C172:$Y172)=0),"",IFERROR(SUMIF(معالجة!$B$3:$X$3,N$2,الرصد!$C172:$Y172)/SUMIF(معالجة!$B$3:$X$3,N$2,معالجة!$B$4:$X$4),""))</f>
        <v/>
      </c>
      <c r="O172" s="51" t="str">
        <f>IF(OR(O$2="",COUNT(الرصد!$C172:$Y172)=0),"",IFERROR(SUMIF(معالجة!$B$3:$X$3,O$2,الرصد!$C172:$Y172)/SUMIF(معالجة!$B$3:$X$3,O$2,معالجة!$B$4:$X$4),""))</f>
        <v/>
      </c>
      <c r="P172" s="51" t="str">
        <f>IF(OR(P$2="",COUNT(الرصد!$C172:$Y172)=0),"",IFERROR(SUMIF(معالجة!$B$3:$X$3,P$2,الرصد!$C172:$Y172)/SUMIF(معالجة!$B$3:$X$3,P$2,معالجة!$B$4:$X$4),""))</f>
        <v/>
      </c>
      <c r="Q172" s="51" t="str">
        <f>IF(OR(Q$2="",COUNT(الرصد!$C172:$Y172)=0),"",IFERROR(SUMIF(معالجة!$B$3:$X$3,Q$2,الرصد!$C172:$Y172)/SUMIF(معالجة!$B$3:$X$3,Q$2,معالجة!$B$4:$X$4),""))</f>
        <v/>
      </c>
      <c r="R172" s="51" t="str">
        <f>IF(OR(R$2="",COUNT(الرصد!$C172:$Y172)=0),"",IFERROR(SUMIF(معالجة!$B$3:$X$3,R$2,الرصد!$C172:$Y172)/SUMIF(معالجة!$B$3:$X$3,R$2,معالجة!$B$4:$X$4),""))</f>
        <v/>
      </c>
      <c r="S172" s="51" t="str">
        <f>IF(OR(S$2="",COUNT(الرصد!$C172:$Y172)=0),"",IFERROR(SUMIF(معالجة!$B$3:$X$3,S$2,الرصد!$C172:$Y172)/SUMIF(معالجة!$B$3:$X$3,S$2,معالجة!$B$4:$X$4),""))</f>
        <v/>
      </c>
      <c r="T172" s="51" t="str">
        <f>IF(OR(T$2="",COUNT(الرصد!$C172:$Y172)=0),"",IFERROR(SUMIF(معالجة!$B$3:$X$3,T$2,الرصد!$C172:$Y172)/SUMIF(معالجة!$B$3:$X$3,T$2,معالجة!$B$4:$X$4),""))</f>
        <v/>
      </c>
      <c r="U172" s="51" t="str">
        <f>IF(OR(U$2="",COUNT(الرصد!$C172:$Y172)=0),"",IFERROR(SUMIF(معالجة!$B$3:$X$3,U$2,الرصد!$C172:$Y172)/SUMIF(معالجة!$B$3:$X$3,U$2,معالجة!$B$4:$X$4),""))</f>
        <v/>
      </c>
      <c r="V172" s="51" t="str">
        <f>IF(OR(V$2="",COUNT(الرصد!$C172:$Y172)=0),"",IFERROR(SUMIF(معالجة!$B$3:$X$3,V$2,الرصد!$C172:$Y172)/SUMIF(معالجة!$B$3:$X$3,V$2,معالجة!$B$4:$X$4),""))</f>
        <v/>
      </c>
      <c r="W172" s="51" t="str">
        <f>IFERROR(C172/المهارات!$G$27,"")</f>
        <v/>
      </c>
    </row>
    <row r="173" spans="1:23" ht="14.25" customHeight="1">
      <c r="A173" s="42" t="s">
        <v>242</v>
      </c>
      <c r="B173" s="42" t="s">
        <v>24</v>
      </c>
      <c r="C173" s="50" t="str">
        <f>IF(COUNT(الرصد!C173:Y173)=0,"",SUM(الرصد!C173:Y173))</f>
        <v/>
      </c>
      <c r="D173" s="51" t="str">
        <f>IF(OR(D$2="",COUNT(الرصد!$C173:$Y173)=0),"",IFERROR(SUMIF(معالجة!$B$3:$X$3,D$2,الرصد!$C173:$Y173)/SUMIF(معالجة!$B$3:$X$3,D$2,معالجة!$B$4:$X$4),""))</f>
        <v/>
      </c>
      <c r="E173" s="51" t="str">
        <f>IF(OR(E$2="",COUNT(الرصد!$C173:$Y173)=0),"",IFERROR(SUMIF(معالجة!$B$3:$X$3,E$2,الرصد!$C173:$Y173)/SUMIF(معالجة!$B$3:$X$3,E$2,معالجة!$B$4:$X$4),""))</f>
        <v/>
      </c>
      <c r="F173" s="51" t="str">
        <f>IF(OR(F$2="",COUNT(الرصد!$C173:$Y173)=0),"",IFERROR(SUMIF(معالجة!$B$3:$X$3,F$2,الرصد!$C173:$Y173)/SUMIF(معالجة!$B$3:$X$3,F$2,معالجة!$B$4:$X$4),""))</f>
        <v/>
      </c>
      <c r="G173" s="51" t="str">
        <f>IF(OR(G$2="",COUNT(الرصد!$C173:$Y173)=0),"",IFERROR(SUMIF(معالجة!$B$3:$X$3,G$2,الرصد!$C173:$Y173)/SUMIF(معالجة!$B$3:$X$3,G$2,معالجة!$B$4:$X$4),""))</f>
        <v/>
      </c>
      <c r="H173" s="51" t="str">
        <f>IF(OR(H$2="",COUNT(الرصد!$C173:$Y173)=0),"",IFERROR(SUMIF(معالجة!$B$3:$X$3,H$2,الرصد!$C173:$Y173)/SUMIF(معالجة!$B$3:$X$3,H$2,معالجة!$B$4:$X$4),""))</f>
        <v/>
      </c>
      <c r="I173" s="51" t="str">
        <f>IF(OR(I$2="",COUNT(الرصد!$C173:$Y173)=0),"",IFERROR(SUMIF(معالجة!$B$3:$X$3,I$2,الرصد!$C173:$Y173)/SUMIF(معالجة!$B$3:$X$3,I$2,معالجة!$B$4:$X$4),""))</f>
        <v/>
      </c>
      <c r="J173" s="51" t="str">
        <f>IF(OR(J$2="",COUNT(الرصد!$C173:$Y173)=0),"",IFERROR(SUMIF(معالجة!$B$3:$X$3,J$2,الرصد!$C173:$Y173)/SUMIF(معالجة!$B$3:$X$3,J$2,معالجة!$B$4:$X$4),""))</f>
        <v/>
      </c>
      <c r="K173" s="51" t="str">
        <f>IF(OR(K$2="",COUNT(الرصد!$C173:$Y173)=0),"",IFERROR(SUMIF(معالجة!$B$3:$X$3,K$2,الرصد!$C173:$Y173)/SUMIF(معالجة!$B$3:$X$3,K$2,معالجة!$B$4:$X$4),""))</f>
        <v/>
      </c>
      <c r="L173" s="51" t="str">
        <f>IF(OR(L$2="",COUNT(الرصد!$C173:$Y173)=0),"",IFERROR(SUMIF(معالجة!$B$3:$X$3,L$2,الرصد!$C173:$Y173)/SUMIF(معالجة!$B$3:$X$3,L$2,معالجة!$B$4:$X$4),""))</f>
        <v/>
      </c>
      <c r="M173" s="51" t="str">
        <f>IF(OR(M$2="",COUNT(الرصد!$C173:$Y173)=0),"",IFERROR(SUMIF(معالجة!$B$3:$X$3,M$2,الرصد!$C173:$Y173)/SUMIF(معالجة!$B$3:$X$3,M$2,معالجة!$B$4:$X$4),""))</f>
        <v/>
      </c>
      <c r="N173" s="51" t="str">
        <f>IF(OR(N$2="",COUNT(الرصد!$C173:$Y173)=0),"",IFERROR(SUMIF(معالجة!$B$3:$X$3,N$2,الرصد!$C173:$Y173)/SUMIF(معالجة!$B$3:$X$3,N$2,معالجة!$B$4:$X$4),""))</f>
        <v/>
      </c>
      <c r="O173" s="51" t="str">
        <f>IF(OR(O$2="",COUNT(الرصد!$C173:$Y173)=0),"",IFERROR(SUMIF(معالجة!$B$3:$X$3,O$2,الرصد!$C173:$Y173)/SUMIF(معالجة!$B$3:$X$3,O$2,معالجة!$B$4:$X$4),""))</f>
        <v/>
      </c>
      <c r="P173" s="51" t="str">
        <f>IF(OR(P$2="",COUNT(الرصد!$C173:$Y173)=0),"",IFERROR(SUMIF(معالجة!$B$3:$X$3,P$2,الرصد!$C173:$Y173)/SUMIF(معالجة!$B$3:$X$3,P$2,معالجة!$B$4:$X$4),""))</f>
        <v/>
      </c>
      <c r="Q173" s="51" t="str">
        <f>IF(OR(Q$2="",COUNT(الرصد!$C173:$Y173)=0),"",IFERROR(SUMIF(معالجة!$B$3:$X$3,Q$2,الرصد!$C173:$Y173)/SUMIF(معالجة!$B$3:$X$3,Q$2,معالجة!$B$4:$X$4),""))</f>
        <v/>
      </c>
      <c r="R173" s="51" t="str">
        <f>IF(OR(R$2="",COUNT(الرصد!$C173:$Y173)=0),"",IFERROR(SUMIF(معالجة!$B$3:$X$3,R$2,الرصد!$C173:$Y173)/SUMIF(معالجة!$B$3:$X$3,R$2,معالجة!$B$4:$X$4),""))</f>
        <v/>
      </c>
      <c r="S173" s="51" t="str">
        <f>IF(OR(S$2="",COUNT(الرصد!$C173:$Y173)=0),"",IFERROR(SUMIF(معالجة!$B$3:$X$3,S$2,الرصد!$C173:$Y173)/SUMIF(معالجة!$B$3:$X$3,S$2,معالجة!$B$4:$X$4),""))</f>
        <v/>
      </c>
      <c r="T173" s="51" t="str">
        <f>IF(OR(T$2="",COUNT(الرصد!$C173:$Y173)=0),"",IFERROR(SUMIF(معالجة!$B$3:$X$3,T$2,الرصد!$C173:$Y173)/SUMIF(معالجة!$B$3:$X$3,T$2,معالجة!$B$4:$X$4),""))</f>
        <v/>
      </c>
      <c r="U173" s="51" t="str">
        <f>IF(OR(U$2="",COUNT(الرصد!$C173:$Y173)=0),"",IFERROR(SUMIF(معالجة!$B$3:$X$3,U$2,الرصد!$C173:$Y173)/SUMIF(معالجة!$B$3:$X$3,U$2,معالجة!$B$4:$X$4),""))</f>
        <v/>
      </c>
      <c r="V173" s="51" t="str">
        <f>IF(OR(V$2="",COUNT(الرصد!$C173:$Y173)=0),"",IFERROR(SUMIF(معالجة!$B$3:$X$3,V$2,الرصد!$C173:$Y173)/SUMIF(معالجة!$B$3:$X$3,V$2,معالجة!$B$4:$X$4),""))</f>
        <v/>
      </c>
      <c r="W173" s="51" t="str">
        <f>IFERROR(C173/المهارات!$G$27,"")</f>
        <v/>
      </c>
    </row>
    <row r="174" spans="1:23" ht="14.25" customHeight="1">
      <c r="A174" s="46" t="s">
        <v>243</v>
      </c>
      <c r="B174" s="46" t="s">
        <v>24</v>
      </c>
      <c r="C174" s="52" t="str">
        <f>IF(COUNT(الرصد!C174:Y174)=0,"",SUM(الرصد!C174:Y174))</f>
        <v/>
      </c>
      <c r="D174" s="51" t="str">
        <f>IF(OR(D$2="",COUNT(الرصد!$C174:$Y174)=0),"",IFERROR(SUMIF(معالجة!$B$3:$X$3,D$2,الرصد!$C174:$Y174)/SUMIF(معالجة!$B$3:$X$3,D$2,معالجة!$B$4:$X$4),""))</f>
        <v/>
      </c>
      <c r="E174" s="51" t="str">
        <f>IF(OR(E$2="",COUNT(الرصد!$C174:$Y174)=0),"",IFERROR(SUMIF(معالجة!$B$3:$X$3,E$2,الرصد!$C174:$Y174)/SUMIF(معالجة!$B$3:$X$3,E$2,معالجة!$B$4:$X$4),""))</f>
        <v/>
      </c>
      <c r="F174" s="51" t="str">
        <f>IF(OR(F$2="",COUNT(الرصد!$C174:$Y174)=0),"",IFERROR(SUMIF(معالجة!$B$3:$X$3,F$2,الرصد!$C174:$Y174)/SUMIF(معالجة!$B$3:$X$3,F$2,معالجة!$B$4:$X$4),""))</f>
        <v/>
      </c>
      <c r="G174" s="51" t="str">
        <f>IF(OR(G$2="",COUNT(الرصد!$C174:$Y174)=0),"",IFERROR(SUMIF(معالجة!$B$3:$X$3,G$2,الرصد!$C174:$Y174)/SUMIF(معالجة!$B$3:$X$3,G$2,معالجة!$B$4:$X$4),""))</f>
        <v/>
      </c>
      <c r="H174" s="51" t="str">
        <f>IF(OR(H$2="",COUNT(الرصد!$C174:$Y174)=0),"",IFERROR(SUMIF(معالجة!$B$3:$X$3,H$2,الرصد!$C174:$Y174)/SUMIF(معالجة!$B$3:$X$3,H$2,معالجة!$B$4:$X$4),""))</f>
        <v/>
      </c>
      <c r="I174" s="51" t="str">
        <f>IF(OR(I$2="",COUNT(الرصد!$C174:$Y174)=0),"",IFERROR(SUMIF(معالجة!$B$3:$X$3,I$2,الرصد!$C174:$Y174)/SUMIF(معالجة!$B$3:$X$3,I$2,معالجة!$B$4:$X$4),""))</f>
        <v/>
      </c>
      <c r="J174" s="51" t="str">
        <f>IF(OR(J$2="",COUNT(الرصد!$C174:$Y174)=0),"",IFERROR(SUMIF(معالجة!$B$3:$X$3,J$2,الرصد!$C174:$Y174)/SUMIF(معالجة!$B$3:$X$3,J$2,معالجة!$B$4:$X$4),""))</f>
        <v/>
      </c>
      <c r="K174" s="51" t="str">
        <f>IF(OR(K$2="",COUNT(الرصد!$C174:$Y174)=0),"",IFERROR(SUMIF(معالجة!$B$3:$X$3,K$2,الرصد!$C174:$Y174)/SUMIF(معالجة!$B$3:$X$3,K$2,معالجة!$B$4:$X$4),""))</f>
        <v/>
      </c>
      <c r="L174" s="51" t="str">
        <f>IF(OR(L$2="",COUNT(الرصد!$C174:$Y174)=0),"",IFERROR(SUMIF(معالجة!$B$3:$X$3,L$2,الرصد!$C174:$Y174)/SUMIF(معالجة!$B$3:$X$3,L$2,معالجة!$B$4:$X$4),""))</f>
        <v/>
      </c>
      <c r="M174" s="51" t="str">
        <f>IF(OR(M$2="",COUNT(الرصد!$C174:$Y174)=0),"",IFERROR(SUMIF(معالجة!$B$3:$X$3,M$2,الرصد!$C174:$Y174)/SUMIF(معالجة!$B$3:$X$3,M$2,معالجة!$B$4:$X$4),""))</f>
        <v/>
      </c>
      <c r="N174" s="51" t="str">
        <f>IF(OR(N$2="",COUNT(الرصد!$C174:$Y174)=0),"",IFERROR(SUMIF(معالجة!$B$3:$X$3,N$2,الرصد!$C174:$Y174)/SUMIF(معالجة!$B$3:$X$3,N$2,معالجة!$B$4:$X$4),""))</f>
        <v/>
      </c>
      <c r="O174" s="51" t="str">
        <f>IF(OR(O$2="",COUNT(الرصد!$C174:$Y174)=0),"",IFERROR(SUMIF(معالجة!$B$3:$X$3,O$2,الرصد!$C174:$Y174)/SUMIF(معالجة!$B$3:$X$3,O$2,معالجة!$B$4:$X$4),""))</f>
        <v/>
      </c>
      <c r="P174" s="51" t="str">
        <f>IF(OR(P$2="",COUNT(الرصد!$C174:$Y174)=0),"",IFERROR(SUMIF(معالجة!$B$3:$X$3,P$2,الرصد!$C174:$Y174)/SUMIF(معالجة!$B$3:$X$3,P$2,معالجة!$B$4:$X$4),""))</f>
        <v/>
      </c>
      <c r="Q174" s="51" t="str">
        <f>IF(OR(Q$2="",COUNT(الرصد!$C174:$Y174)=0),"",IFERROR(SUMIF(معالجة!$B$3:$X$3,Q$2,الرصد!$C174:$Y174)/SUMIF(معالجة!$B$3:$X$3,Q$2,معالجة!$B$4:$X$4),""))</f>
        <v/>
      </c>
      <c r="R174" s="51" t="str">
        <f>IF(OR(R$2="",COUNT(الرصد!$C174:$Y174)=0),"",IFERROR(SUMIF(معالجة!$B$3:$X$3,R$2,الرصد!$C174:$Y174)/SUMIF(معالجة!$B$3:$X$3,R$2,معالجة!$B$4:$X$4),""))</f>
        <v/>
      </c>
      <c r="S174" s="51" t="str">
        <f>IF(OR(S$2="",COUNT(الرصد!$C174:$Y174)=0),"",IFERROR(SUMIF(معالجة!$B$3:$X$3,S$2,الرصد!$C174:$Y174)/SUMIF(معالجة!$B$3:$X$3,S$2,معالجة!$B$4:$X$4),""))</f>
        <v/>
      </c>
      <c r="T174" s="51" t="str">
        <f>IF(OR(T$2="",COUNT(الرصد!$C174:$Y174)=0),"",IFERROR(SUMIF(معالجة!$B$3:$X$3,T$2,الرصد!$C174:$Y174)/SUMIF(معالجة!$B$3:$X$3,T$2,معالجة!$B$4:$X$4),""))</f>
        <v/>
      </c>
      <c r="U174" s="51" t="str">
        <f>IF(OR(U$2="",COUNT(الرصد!$C174:$Y174)=0),"",IFERROR(SUMIF(معالجة!$B$3:$X$3,U$2,الرصد!$C174:$Y174)/SUMIF(معالجة!$B$3:$X$3,U$2,معالجة!$B$4:$X$4),""))</f>
        <v/>
      </c>
      <c r="V174" s="51" t="str">
        <f>IF(OR(V$2="",COUNT(الرصد!$C174:$Y174)=0),"",IFERROR(SUMIF(معالجة!$B$3:$X$3,V$2,الرصد!$C174:$Y174)/SUMIF(معالجة!$B$3:$X$3,V$2,معالجة!$B$4:$X$4),""))</f>
        <v/>
      </c>
      <c r="W174" s="51" t="str">
        <f>IFERROR(C174/المهارات!$G$27,"")</f>
        <v/>
      </c>
    </row>
    <row r="175" spans="1:23" ht="14.25" customHeight="1">
      <c r="A175" s="42" t="s">
        <v>244</v>
      </c>
      <c r="B175" s="42" t="s">
        <v>24</v>
      </c>
      <c r="C175" s="50" t="str">
        <f>IF(COUNT(الرصد!C175:Y175)=0,"",SUM(الرصد!C175:Y175))</f>
        <v/>
      </c>
      <c r="D175" s="51" t="str">
        <f>IF(OR(D$2="",COUNT(الرصد!$C175:$Y175)=0),"",IFERROR(SUMIF(معالجة!$B$3:$X$3,D$2,الرصد!$C175:$Y175)/SUMIF(معالجة!$B$3:$X$3,D$2,معالجة!$B$4:$X$4),""))</f>
        <v/>
      </c>
      <c r="E175" s="51" t="str">
        <f>IF(OR(E$2="",COUNT(الرصد!$C175:$Y175)=0),"",IFERROR(SUMIF(معالجة!$B$3:$X$3,E$2,الرصد!$C175:$Y175)/SUMIF(معالجة!$B$3:$X$3,E$2,معالجة!$B$4:$X$4),""))</f>
        <v/>
      </c>
      <c r="F175" s="51" t="str">
        <f>IF(OR(F$2="",COUNT(الرصد!$C175:$Y175)=0),"",IFERROR(SUMIF(معالجة!$B$3:$X$3,F$2,الرصد!$C175:$Y175)/SUMIF(معالجة!$B$3:$X$3,F$2,معالجة!$B$4:$X$4),""))</f>
        <v/>
      </c>
      <c r="G175" s="51" t="str">
        <f>IF(OR(G$2="",COUNT(الرصد!$C175:$Y175)=0),"",IFERROR(SUMIF(معالجة!$B$3:$X$3,G$2,الرصد!$C175:$Y175)/SUMIF(معالجة!$B$3:$X$3,G$2,معالجة!$B$4:$X$4),""))</f>
        <v/>
      </c>
      <c r="H175" s="51" t="str">
        <f>IF(OR(H$2="",COUNT(الرصد!$C175:$Y175)=0),"",IFERROR(SUMIF(معالجة!$B$3:$X$3,H$2,الرصد!$C175:$Y175)/SUMIF(معالجة!$B$3:$X$3,H$2,معالجة!$B$4:$X$4),""))</f>
        <v/>
      </c>
      <c r="I175" s="51" t="str">
        <f>IF(OR(I$2="",COUNT(الرصد!$C175:$Y175)=0),"",IFERROR(SUMIF(معالجة!$B$3:$X$3,I$2,الرصد!$C175:$Y175)/SUMIF(معالجة!$B$3:$X$3,I$2,معالجة!$B$4:$X$4),""))</f>
        <v/>
      </c>
      <c r="J175" s="51" t="str">
        <f>IF(OR(J$2="",COUNT(الرصد!$C175:$Y175)=0),"",IFERROR(SUMIF(معالجة!$B$3:$X$3,J$2,الرصد!$C175:$Y175)/SUMIF(معالجة!$B$3:$X$3,J$2,معالجة!$B$4:$X$4),""))</f>
        <v/>
      </c>
      <c r="K175" s="51" t="str">
        <f>IF(OR(K$2="",COUNT(الرصد!$C175:$Y175)=0),"",IFERROR(SUMIF(معالجة!$B$3:$X$3,K$2,الرصد!$C175:$Y175)/SUMIF(معالجة!$B$3:$X$3,K$2,معالجة!$B$4:$X$4),""))</f>
        <v/>
      </c>
      <c r="L175" s="51" t="str">
        <f>IF(OR(L$2="",COUNT(الرصد!$C175:$Y175)=0),"",IFERROR(SUMIF(معالجة!$B$3:$X$3,L$2,الرصد!$C175:$Y175)/SUMIF(معالجة!$B$3:$X$3,L$2,معالجة!$B$4:$X$4),""))</f>
        <v/>
      </c>
      <c r="M175" s="51" t="str">
        <f>IF(OR(M$2="",COUNT(الرصد!$C175:$Y175)=0),"",IFERROR(SUMIF(معالجة!$B$3:$X$3,M$2,الرصد!$C175:$Y175)/SUMIF(معالجة!$B$3:$X$3,M$2,معالجة!$B$4:$X$4),""))</f>
        <v/>
      </c>
      <c r="N175" s="51" t="str">
        <f>IF(OR(N$2="",COUNT(الرصد!$C175:$Y175)=0),"",IFERROR(SUMIF(معالجة!$B$3:$X$3,N$2,الرصد!$C175:$Y175)/SUMIF(معالجة!$B$3:$X$3,N$2,معالجة!$B$4:$X$4),""))</f>
        <v/>
      </c>
      <c r="O175" s="51" t="str">
        <f>IF(OR(O$2="",COUNT(الرصد!$C175:$Y175)=0),"",IFERROR(SUMIF(معالجة!$B$3:$X$3,O$2,الرصد!$C175:$Y175)/SUMIF(معالجة!$B$3:$X$3,O$2,معالجة!$B$4:$X$4),""))</f>
        <v/>
      </c>
      <c r="P175" s="51" t="str">
        <f>IF(OR(P$2="",COUNT(الرصد!$C175:$Y175)=0),"",IFERROR(SUMIF(معالجة!$B$3:$X$3,P$2,الرصد!$C175:$Y175)/SUMIF(معالجة!$B$3:$X$3,P$2,معالجة!$B$4:$X$4),""))</f>
        <v/>
      </c>
      <c r="Q175" s="51" t="str">
        <f>IF(OR(Q$2="",COUNT(الرصد!$C175:$Y175)=0),"",IFERROR(SUMIF(معالجة!$B$3:$X$3,Q$2,الرصد!$C175:$Y175)/SUMIF(معالجة!$B$3:$X$3,Q$2,معالجة!$B$4:$X$4),""))</f>
        <v/>
      </c>
      <c r="R175" s="51" t="str">
        <f>IF(OR(R$2="",COUNT(الرصد!$C175:$Y175)=0),"",IFERROR(SUMIF(معالجة!$B$3:$X$3,R$2,الرصد!$C175:$Y175)/SUMIF(معالجة!$B$3:$X$3,R$2,معالجة!$B$4:$X$4),""))</f>
        <v/>
      </c>
      <c r="S175" s="51" t="str">
        <f>IF(OR(S$2="",COUNT(الرصد!$C175:$Y175)=0),"",IFERROR(SUMIF(معالجة!$B$3:$X$3,S$2,الرصد!$C175:$Y175)/SUMIF(معالجة!$B$3:$X$3,S$2,معالجة!$B$4:$X$4),""))</f>
        <v/>
      </c>
      <c r="T175" s="51" t="str">
        <f>IF(OR(T$2="",COUNT(الرصد!$C175:$Y175)=0),"",IFERROR(SUMIF(معالجة!$B$3:$X$3,T$2,الرصد!$C175:$Y175)/SUMIF(معالجة!$B$3:$X$3,T$2,معالجة!$B$4:$X$4),""))</f>
        <v/>
      </c>
      <c r="U175" s="51" t="str">
        <f>IF(OR(U$2="",COUNT(الرصد!$C175:$Y175)=0),"",IFERROR(SUMIF(معالجة!$B$3:$X$3,U$2,الرصد!$C175:$Y175)/SUMIF(معالجة!$B$3:$X$3,U$2,معالجة!$B$4:$X$4),""))</f>
        <v/>
      </c>
      <c r="V175" s="51" t="str">
        <f>IF(OR(V$2="",COUNT(الرصد!$C175:$Y175)=0),"",IFERROR(SUMIF(معالجة!$B$3:$X$3,V$2,الرصد!$C175:$Y175)/SUMIF(معالجة!$B$3:$X$3,V$2,معالجة!$B$4:$X$4),""))</f>
        <v/>
      </c>
      <c r="W175" s="51" t="str">
        <f>IFERROR(C175/المهارات!$G$27,"")</f>
        <v/>
      </c>
    </row>
    <row r="176" spans="1:23" ht="14.25" customHeight="1">
      <c r="A176" s="46" t="s">
        <v>245</v>
      </c>
      <c r="B176" s="46" t="s">
        <v>25</v>
      </c>
      <c r="C176" s="52" t="str">
        <f>IF(COUNT(الرصد!C176:Y176)=0,"",SUM(الرصد!C176:Y176))</f>
        <v/>
      </c>
      <c r="D176" s="51" t="str">
        <f>IF(OR(D$2="",COUNT(الرصد!$C176:$Y176)=0),"",IFERROR(SUMIF(معالجة!$B$3:$X$3,D$2,الرصد!$C176:$Y176)/SUMIF(معالجة!$B$3:$X$3,D$2,معالجة!$B$4:$X$4),""))</f>
        <v/>
      </c>
      <c r="E176" s="51" t="str">
        <f>IF(OR(E$2="",COUNT(الرصد!$C176:$Y176)=0),"",IFERROR(SUMIF(معالجة!$B$3:$X$3,E$2,الرصد!$C176:$Y176)/SUMIF(معالجة!$B$3:$X$3,E$2,معالجة!$B$4:$X$4),""))</f>
        <v/>
      </c>
      <c r="F176" s="51" t="str">
        <f>IF(OR(F$2="",COUNT(الرصد!$C176:$Y176)=0),"",IFERROR(SUMIF(معالجة!$B$3:$X$3,F$2,الرصد!$C176:$Y176)/SUMIF(معالجة!$B$3:$X$3,F$2,معالجة!$B$4:$X$4),""))</f>
        <v/>
      </c>
      <c r="G176" s="51" t="str">
        <f>IF(OR(G$2="",COUNT(الرصد!$C176:$Y176)=0),"",IFERROR(SUMIF(معالجة!$B$3:$X$3,G$2,الرصد!$C176:$Y176)/SUMIF(معالجة!$B$3:$X$3,G$2,معالجة!$B$4:$X$4),""))</f>
        <v/>
      </c>
      <c r="H176" s="51" t="str">
        <f>IF(OR(H$2="",COUNT(الرصد!$C176:$Y176)=0),"",IFERROR(SUMIF(معالجة!$B$3:$X$3,H$2,الرصد!$C176:$Y176)/SUMIF(معالجة!$B$3:$X$3,H$2,معالجة!$B$4:$X$4),""))</f>
        <v/>
      </c>
      <c r="I176" s="51" t="str">
        <f>IF(OR(I$2="",COUNT(الرصد!$C176:$Y176)=0),"",IFERROR(SUMIF(معالجة!$B$3:$X$3,I$2,الرصد!$C176:$Y176)/SUMIF(معالجة!$B$3:$X$3,I$2,معالجة!$B$4:$X$4),""))</f>
        <v/>
      </c>
      <c r="J176" s="51" t="str">
        <f>IF(OR(J$2="",COUNT(الرصد!$C176:$Y176)=0),"",IFERROR(SUMIF(معالجة!$B$3:$X$3,J$2,الرصد!$C176:$Y176)/SUMIF(معالجة!$B$3:$X$3,J$2,معالجة!$B$4:$X$4),""))</f>
        <v/>
      </c>
      <c r="K176" s="51" t="str">
        <f>IF(OR(K$2="",COUNT(الرصد!$C176:$Y176)=0),"",IFERROR(SUMIF(معالجة!$B$3:$X$3,K$2,الرصد!$C176:$Y176)/SUMIF(معالجة!$B$3:$X$3,K$2,معالجة!$B$4:$X$4),""))</f>
        <v/>
      </c>
      <c r="L176" s="51" t="str">
        <f>IF(OR(L$2="",COUNT(الرصد!$C176:$Y176)=0),"",IFERROR(SUMIF(معالجة!$B$3:$X$3,L$2,الرصد!$C176:$Y176)/SUMIF(معالجة!$B$3:$X$3,L$2,معالجة!$B$4:$X$4),""))</f>
        <v/>
      </c>
      <c r="M176" s="51" t="str">
        <f>IF(OR(M$2="",COUNT(الرصد!$C176:$Y176)=0),"",IFERROR(SUMIF(معالجة!$B$3:$X$3,M$2,الرصد!$C176:$Y176)/SUMIF(معالجة!$B$3:$X$3,M$2,معالجة!$B$4:$X$4),""))</f>
        <v/>
      </c>
      <c r="N176" s="51" t="str">
        <f>IF(OR(N$2="",COUNT(الرصد!$C176:$Y176)=0),"",IFERROR(SUMIF(معالجة!$B$3:$X$3,N$2,الرصد!$C176:$Y176)/SUMIF(معالجة!$B$3:$X$3,N$2,معالجة!$B$4:$X$4),""))</f>
        <v/>
      </c>
      <c r="O176" s="51" t="str">
        <f>IF(OR(O$2="",COUNT(الرصد!$C176:$Y176)=0),"",IFERROR(SUMIF(معالجة!$B$3:$X$3,O$2,الرصد!$C176:$Y176)/SUMIF(معالجة!$B$3:$X$3,O$2,معالجة!$B$4:$X$4),""))</f>
        <v/>
      </c>
      <c r="P176" s="51" t="str">
        <f>IF(OR(P$2="",COUNT(الرصد!$C176:$Y176)=0),"",IFERROR(SUMIF(معالجة!$B$3:$X$3,P$2,الرصد!$C176:$Y176)/SUMIF(معالجة!$B$3:$X$3,P$2,معالجة!$B$4:$X$4),""))</f>
        <v/>
      </c>
      <c r="Q176" s="51" t="str">
        <f>IF(OR(Q$2="",COUNT(الرصد!$C176:$Y176)=0),"",IFERROR(SUMIF(معالجة!$B$3:$X$3,Q$2,الرصد!$C176:$Y176)/SUMIF(معالجة!$B$3:$X$3,Q$2,معالجة!$B$4:$X$4),""))</f>
        <v/>
      </c>
      <c r="R176" s="51" t="str">
        <f>IF(OR(R$2="",COUNT(الرصد!$C176:$Y176)=0),"",IFERROR(SUMIF(معالجة!$B$3:$X$3,R$2,الرصد!$C176:$Y176)/SUMIF(معالجة!$B$3:$X$3,R$2,معالجة!$B$4:$X$4),""))</f>
        <v/>
      </c>
      <c r="S176" s="51" t="str">
        <f>IF(OR(S$2="",COUNT(الرصد!$C176:$Y176)=0),"",IFERROR(SUMIF(معالجة!$B$3:$X$3,S$2,الرصد!$C176:$Y176)/SUMIF(معالجة!$B$3:$X$3,S$2,معالجة!$B$4:$X$4),""))</f>
        <v/>
      </c>
      <c r="T176" s="51" t="str">
        <f>IF(OR(T$2="",COUNT(الرصد!$C176:$Y176)=0),"",IFERROR(SUMIF(معالجة!$B$3:$X$3,T$2,الرصد!$C176:$Y176)/SUMIF(معالجة!$B$3:$X$3,T$2,معالجة!$B$4:$X$4),""))</f>
        <v/>
      </c>
      <c r="U176" s="51" t="str">
        <f>IF(OR(U$2="",COUNT(الرصد!$C176:$Y176)=0),"",IFERROR(SUMIF(معالجة!$B$3:$X$3,U$2,الرصد!$C176:$Y176)/SUMIF(معالجة!$B$3:$X$3,U$2,معالجة!$B$4:$X$4),""))</f>
        <v/>
      </c>
      <c r="V176" s="51" t="str">
        <f>IF(OR(V$2="",COUNT(الرصد!$C176:$Y176)=0),"",IFERROR(SUMIF(معالجة!$B$3:$X$3,V$2,الرصد!$C176:$Y176)/SUMIF(معالجة!$B$3:$X$3,V$2,معالجة!$B$4:$X$4),""))</f>
        <v/>
      </c>
      <c r="W176" s="51" t="str">
        <f>IFERROR(C176/المهارات!$G$27,"")</f>
        <v/>
      </c>
    </row>
    <row r="177" spans="1:23" ht="14.25" customHeight="1">
      <c r="A177" s="42" t="s">
        <v>246</v>
      </c>
      <c r="B177" s="42" t="s">
        <v>25</v>
      </c>
      <c r="C177" s="50" t="str">
        <f>IF(COUNT(الرصد!C177:Y177)=0,"",SUM(الرصد!C177:Y177))</f>
        <v/>
      </c>
      <c r="D177" s="51" t="str">
        <f>IF(OR(D$2="",COUNT(الرصد!$C177:$Y177)=0),"",IFERROR(SUMIF(معالجة!$B$3:$X$3,D$2,الرصد!$C177:$Y177)/SUMIF(معالجة!$B$3:$X$3,D$2,معالجة!$B$4:$X$4),""))</f>
        <v/>
      </c>
      <c r="E177" s="51" t="str">
        <f>IF(OR(E$2="",COUNT(الرصد!$C177:$Y177)=0),"",IFERROR(SUMIF(معالجة!$B$3:$X$3,E$2,الرصد!$C177:$Y177)/SUMIF(معالجة!$B$3:$X$3,E$2,معالجة!$B$4:$X$4),""))</f>
        <v/>
      </c>
      <c r="F177" s="51" t="str">
        <f>IF(OR(F$2="",COUNT(الرصد!$C177:$Y177)=0),"",IFERROR(SUMIF(معالجة!$B$3:$X$3,F$2,الرصد!$C177:$Y177)/SUMIF(معالجة!$B$3:$X$3,F$2,معالجة!$B$4:$X$4),""))</f>
        <v/>
      </c>
      <c r="G177" s="51" t="str">
        <f>IF(OR(G$2="",COUNT(الرصد!$C177:$Y177)=0),"",IFERROR(SUMIF(معالجة!$B$3:$X$3,G$2,الرصد!$C177:$Y177)/SUMIF(معالجة!$B$3:$X$3,G$2,معالجة!$B$4:$X$4),""))</f>
        <v/>
      </c>
      <c r="H177" s="51" t="str">
        <f>IF(OR(H$2="",COUNT(الرصد!$C177:$Y177)=0),"",IFERROR(SUMIF(معالجة!$B$3:$X$3,H$2,الرصد!$C177:$Y177)/SUMIF(معالجة!$B$3:$X$3,H$2,معالجة!$B$4:$X$4),""))</f>
        <v/>
      </c>
      <c r="I177" s="51" t="str">
        <f>IF(OR(I$2="",COUNT(الرصد!$C177:$Y177)=0),"",IFERROR(SUMIF(معالجة!$B$3:$X$3,I$2,الرصد!$C177:$Y177)/SUMIF(معالجة!$B$3:$X$3,I$2,معالجة!$B$4:$X$4),""))</f>
        <v/>
      </c>
      <c r="J177" s="51" t="str">
        <f>IF(OR(J$2="",COUNT(الرصد!$C177:$Y177)=0),"",IFERROR(SUMIF(معالجة!$B$3:$X$3,J$2,الرصد!$C177:$Y177)/SUMIF(معالجة!$B$3:$X$3,J$2,معالجة!$B$4:$X$4),""))</f>
        <v/>
      </c>
      <c r="K177" s="51" t="str">
        <f>IF(OR(K$2="",COUNT(الرصد!$C177:$Y177)=0),"",IFERROR(SUMIF(معالجة!$B$3:$X$3,K$2,الرصد!$C177:$Y177)/SUMIF(معالجة!$B$3:$X$3,K$2,معالجة!$B$4:$X$4),""))</f>
        <v/>
      </c>
      <c r="L177" s="51" t="str">
        <f>IF(OR(L$2="",COUNT(الرصد!$C177:$Y177)=0),"",IFERROR(SUMIF(معالجة!$B$3:$X$3,L$2,الرصد!$C177:$Y177)/SUMIF(معالجة!$B$3:$X$3,L$2,معالجة!$B$4:$X$4),""))</f>
        <v/>
      </c>
      <c r="M177" s="51" t="str">
        <f>IF(OR(M$2="",COUNT(الرصد!$C177:$Y177)=0),"",IFERROR(SUMIF(معالجة!$B$3:$X$3,M$2,الرصد!$C177:$Y177)/SUMIF(معالجة!$B$3:$X$3,M$2,معالجة!$B$4:$X$4),""))</f>
        <v/>
      </c>
      <c r="N177" s="51" t="str">
        <f>IF(OR(N$2="",COUNT(الرصد!$C177:$Y177)=0),"",IFERROR(SUMIF(معالجة!$B$3:$X$3,N$2,الرصد!$C177:$Y177)/SUMIF(معالجة!$B$3:$X$3,N$2,معالجة!$B$4:$X$4),""))</f>
        <v/>
      </c>
      <c r="O177" s="51" t="str">
        <f>IF(OR(O$2="",COUNT(الرصد!$C177:$Y177)=0),"",IFERROR(SUMIF(معالجة!$B$3:$X$3,O$2,الرصد!$C177:$Y177)/SUMIF(معالجة!$B$3:$X$3,O$2,معالجة!$B$4:$X$4),""))</f>
        <v/>
      </c>
      <c r="P177" s="51" t="str">
        <f>IF(OR(P$2="",COUNT(الرصد!$C177:$Y177)=0),"",IFERROR(SUMIF(معالجة!$B$3:$X$3,P$2,الرصد!$C177:$Y177)/SUMIF(معالجة!$B$3:$X$3,P$2,معالجة!$B$4:$X$4),""))</f>
        <v/>
      </c>
      <c r="Q177" s="51" t="str">
        <f>IF(OR(Q$2="",COUNT(الرصد!$C177:$Y177)=0),"",IFERROR(SUMIF(معالجة!$B$3:$X$3,Q$2,الرصد!$C177:$Y177)/SUMIF(معالجة!$B$3:$X$3,Q$2,معالجة!$B$4:$X$4),""))</f>
        <v/>
      </c>
      <c r="R177" s="51" t="str">
        <f>IF(OR(R$2="",COUNT(الرصد!$C177:$Y177)=0),"",IFERROR(SUMIF(معالجة!$B$3:$X$3,R$2,الرصد!$C177:$Y177)/SUMIF(معالجة!$B$3:$X$3,R$2,معالجة!$B$4:$X$4),""))</f>
        <v/>
      </c>
      <c r="S177" s="51" t="str">
        <f>IF(OR(S$2="",COUNT(الرصد!$C177:$Y177)=0),"",IFERROR(SUMIF(معالجة!$B$3:$X$3,S$2,الرصد!$C177:$Y177)/SUMIF(معالجة!$B$3:$X$3,S$2,معالجة!$B$4:$X$4),""))</f>
        <v/>
      </c>
      <c r="T177" s="51" t="str">
        <f>IF(OR(T$2="",COUNT(الرصد!$C177:$Y177)=0),"",IFERROR(SUMIF(معالجة!$B$3:$X$3,T$2,الرصد!$C177:$Y177)/SUMIF(معالجة!$B$3:$X$3,T$2,معالجة!$B$4:$X$4),""))</f>
        <v/>
      </c>
      <c r="U177" s="51" t="str">
        <f>IF(OR(U$2="",COUNT(الرصد!$C177:$Y177)=0),"",IFERROR(SUMIF(معالجة!$B$3:$X$3,U$2,الرصد!$C177:$Y177)/SUMIF(معالجة!$B$3:$X$3,U$2,معالجة!$B$4:$X$4),""))</f>
        <v/>
      </c>
      <c r="V177" s="51" t="str">
        <f>IF(OR(V$2="",COUNT(الرصد!$C177:$Y177)=0),"",IFERROR(SUMIF(معالجة!$B$3:$X$3,V$2,الرصد!$C177:$Y177)/SUMIF(معالجة!$B$3:$X$3,V$2,معالجة!$B$4:$X$4),""))</f>
        <v/>
      </c>
      <c r="W177" s="51" t="str">
        <f>IFERROR(C177/المهارات!$G$27,"")</f>
        <v/>
      </c>
    </row>
    <row r="178" spans="1:23" ht="14.25" customHeight="1">
      <c r="A178" s="46" t="s">
        <v>247</v>
      </c>
      <c r="B178" s="46" t="s">
        <v>25</v>
      </c>
      <c r="C178" s="52" t="str">
        <f>IF(COUNT(الرصد!C178:Y178)=0,"",SUM(الرصد!C178:Y178))</f>
        <v/>
      </c>
      <c r="D178" s="51" t="str">
        <f>IF(OR(D$2="",COUNT(الرصد!$C178:$Y178)=0),"",IFERROR(SUMIF(معالجة!$B$3:$X$3,D$2,الرصد!$C178:$Y178)/SUMIF(معالجة!$B$3:$X$3,D$2,معالجة!$B$4:$X$4),""))</f>
        <v/>
      </c>
      <c r="E178" s="51" t="str">
        <f>IF(OR(E$2="",COUNT(الرصد!$C178:$Y178)=0),"",IFERROR(SUMIF(معالجة!$B$3:$X$3,E$2,الرصد!$C178:$Y178)/SUMIF(معالجة!$B$3:$X$3,E$2,معالجة!$B$4:$X$4),""))</f>
        <v/>
      </c>
      <c r="F178" s="51" t="str">
        <f>IF(OR(F$2="",COUNT(الرصد!$C178:$Y178)=0),"",IFERROR(SUMIF(معالجة!$B$3:$X$3,F$2,الرصد!$C178:$Y178)/SUMIF(معالجة!$B$3:$X$3,F$2,معالجة!$B$4:$X$4),""))</f>
        <v/>
      </c>
      <c r="G178" s="51" t="str">
        <f>IF(OR(G$2="",COUNT(الرصد!$C178:$Y178)=0),"",IFERROR(SUMIF(معالجة!$B$3:$X$3,G$2,الرصد!$C178:$Y178)/SUMIF(معالجة!$B$3:$X$3,G$2,معالجة!$B$4:$X$4),""))</f>
        <v/>
      </c>
      <c r="H178" s="51" t="str">
        <f>IF(OR(H$2="",COUNT(الرصد!$C178:$Y178)=0),"",IFERROR(SUMIF(معالجة!$B$3:$X$3,H$2,الرصد!$C178:$Y178)/SUMIF(معالجة!$B$3:$X$3,H$2,معالجة!$B$4:$X$4),""))</f>
        <v/>
      </c>
      <c r="I178" s="51" t="str">
        <f>IF(OR(I$2="",COUNT(الرصد!$C178:$Y178)=0),"",IFERROR(SUMIF(معالجة!$B$3:$X$3,I$2,الرصد!$C178:$Y178)/SUMIF(معالجة!$B$3:$X$3,I$2,معالجة!$B$4:$X$4),""))</f>
        <v/>
      </c>
      <c r="J178" s="51" t="str">
        <f>IF(OR(J$2="",COUNT(الرصد!$C178:$Y178)=0),"",IFERROR(SUMIF(معالجة!$B$3:$X$3,J$2,الرصد!$C178:$Y178)/SUMIF(معالجة!$B$3:$X$3,J$2,معالجة!$B$4:$X$4),""))</f>
        <v/>
      </c>
      <c r="K178" s="51" t="str">
        <f>IF(OR(K$2="",COUNT(الرصد!$C178:$Y178)=0),"",IFERROR(SUMIF(معالجة!$B$3:$X$3,K$2,الرصد!$C178:$Y178)/SUMIF(معالجة!$B$3:$X$3,K$2,معالجة!$B$4:$X$4),""))</f>
        <v/>
      </c>
      <c r="L178" s="51" t="str">
        <f>IF(OR(L$2="",COUNT(الرصد!$C178:$Y178)=0),"",IFERROR(SUMIF(معالجة!$B$3:$X$3,L$2,الرصد!$C178:$Y178)/SUMIF(معالجة!$B$3:$X$3,L$2,معالجة!$B$4:$X$4),""))</f>
        <v/>
      </c>
      <c r="M178" s="51" t="str">
        <f>IF(OR(M$2="",COUNT(الرصد!$C178:$Y178)=0),"",IFERROR(SUMIF(معالجة!$B$3:$X$3,M$2,الرصد!$C178:$Y178)/SUMIF(معالجة!$B$3:$X$3,M$2,معالجة!$B$4:$X$4),""))</f>
        <v/>
      </c>
      <c r="N178" s="51" t="str">
        <f>IF(OR(N$2="",COUNT(الرصد!$C178:$Y178)=0),"",IFERROR(SUMIF(معالجة!$B$3:$X$3,N$2,الرصد!$C178:$Y178)/SUMIF(معالجة!$B$3:$X$3,N$2,معالجة!$B$4:$X$4),""))</f>
        <v/>
      </c>
      <c r="O178" s="51" t="str">
        <f>IF(OR(O$2="",COUNT(الرصد!$C178:$Y178)=0),"",IFERROR(SUMIF(معالجة!$B$3:$X$3,O$2,الرصد!$C178:$Y178)/SUMIF(معالجة!$B$3:$X$3,O$2,معالجة!$B$4:$X$4),""))</f>
        <v/>
      </c>
      <c r="P178" s="51" t="str">
        <f>IF(OR(P$2="",COUNT(الرصد!$C178:$Y178)=0),"",IFERROR(SUMIF(معالجة!$B$3:$X$3,P$2,الرصد!$C178:$Y178)/SUMIF(معالجة!$B$3:$X$3,P$2,معالجة!$B$4:$X$4),""))</f>
        <v/>
      </c>
      <c r="Q178" s="51" t="str">
        <f>IF(OR(Q$2="",COUNT(الرصد!$C178:$Y178)=0),"",IFERROR(SUMIF(معالجة!$B$3:$X$3,Q$2,الرصد!$C178:$Y178)/SUMIF(معالجة!$B$3:$X$3,Q$2,معالجة!$B$4:$X$4),""))</f>
        <v/>
      </c>
      <c r="R178" s="51" t="str">
        <f>IF(OR(R$2="",COUNT(الرصد!$C178:$Y178)=0),"",IFERROR(SUMIF(معالجة!$B$3:$X$3,R$2,الرصد!$C178:$Y178)/SUMIF(معالجة!$B$3:$X$3,R$2,معالجة!$B$4:$X$4),""))</f>
        <v/>
      </c>
      <c r="S178" s="51" t="str">
        <f>IF(OR(S$2="",COUNT(الرصد!$C178:$Y178)=0),"",IFERROR(SUMIF(معالجة!$B$3:$X$3,S$2,الرصد!$C178:$Y178)/SUMIF(معالجة!$B$3:$X$3,S$2,معالجة!$B$4:$X$4),""))</f>
        <v/>
      </c>
      <c r="T178" s="51" t="str">
        <f>IF(OR(T$2="",COUNT(الرصد!$C178:$Y178)=0),"",IFERROR(SUMIF(معالجة!$B$3:$X$3,T$2,الرصد!$C178:$Y178)/SUMIF(معالجة!$B$3:$X$3,T$2,معالجة!$B$4:$X$4),""))</f>
        <v/>
      </c>
      <c r="U178" s="51" t="str">
        <f>IF(OR(U$2="",COUNT(الرصد!$C178:$Y178)=0),"",IFERROR(SUMIF(معالجة!$B$3:$X$3,U$2,الرصد!$C178:$Y178)/SUMIF(معالجة!$B$3:$X$3,U$2,معالجة!$B$4:$X$4),""))</f>
        <v/>
      </c>
      <c r="V178" s="51" t="str">
        <f>IF(OR(V$2="",COUNT(الرصد!$C178:$Y178)=0),"",IFERROR(SUMIF(معالجة!$B$3:$X$3,V$2,الرصد!$C178:$Y178)/SUMIF(معالجة!$B$3:$X$3,V$2,معالجة!$B$4:$X$4),""))</f>
        <v/>
      </c>
      <c r="W178" s="51" t="str">
        <f>IFERROR(C178/المهارات!$G$27,"")</f>
        <v/>
      </c>
    </row>
    <row r="179" spans="1:23" ht="14.25" customHeight="1">
      <c r="A179" s="42" t="s">
        <v>248</v>
      </c>
      <c r="B179" s="42" t="s">
        <v>25</v>
      </c>
      <c r="C179" s="50" t="str">
        <f>IF(COUNT(الرصد!C179:Y179)=0,"",SUM(الرصد!C179:Y179))</f>
        <v/>
      </c>
      <c r="D179" s="51" t="str">
        <f>IF(OR(D$2="",COUNT(الرصد!$C179:$Y179)=0),"",IFERROR(SUMIF(معالجة!$B$3:$X$3,D$2,الرصد!$C179:$Y179)/SUMIF(معالجة!$B$3:$X$3,D$2,معالجة!$B$4:$X$4),""))</f>
        <v/>
      </c>
      <c r="E179" s="51" t="str">
        <f>IF(OR(E$2="",COUNT(الرصد!$C179:$Y179)=0),"",IFERROR(SUMIF(معالجة!$B$3:$X$3,E$2,الرصد!$C179:$Y179)/SUMIF(معالجة!$B$3:$X$3,E$2,معالجة!$B$4:$X$4),""))</f>
        <v/>
      </c>
      <c r="F179" s="51" t="str">
        <f>IF(OR(F$2="",COUNT(الرصد!$C179:$Y179)=0),"",IFERROR(SUMIF(معالجة!$B$3:$X$3,F$2,الرصد!$C179:$Y179)/SUMIF(معالجة!$B$3:$X$3,F$2,معالجة!$B$4:$X$4),""))</f>
        <v/>
      </c>
      <c r="G179" s="51" t="str">
        <f>IF(OR(G$2="",COUNT(الرصد!$C179:$Y179)=0),"",IFERROR(SUMIF(معالجة!$B$3:$X$3,G$2,الرصد!$C179:$Y179)/SUMIF(معالجة!$B$3:$X$3,G$2,معالجة!$B$4:$X$4),""))</f>
        <v/>
      </c>
      <c r="H179" s="51" t="str">
        <f>IF(OR(H$2="",COUNT(الرصد!$C179:$Y179)=0),"",IFERROR(SUMIF(معالجة!$B$3:$X$3,H$2,الرصد!$C179:$Y179)/SUMIF(معالجة!$B$3:$X$3,H$2,معالجة!$B$4:$X$4),""))</f>
        <v/>
      </c>
      <c r="I179" s="51" t="str">
        <f>IF(OR(I$2="",COUNT(الرصد!$C179:$Y179)=0),"",IFERROR(SUMIF(معالجة!$B$3:$X$3,I$2,الرصد!$C179:$Y179)/SUMIF(معالجة!$B$3:$X$3,I$2,معالجة!$B$4:$X$4),""))</f>
        <v/>
      </c>
      <c r="J179" s="51" t="str">
        <f>IF(OR(J$2="",COUNT(الرصد!$C179:$Y179)=0),"",IFERROR(SUMIF(معالجة!$B$3:$X$3,J$2,الرصد!$C179:$Y179)/SUMIF(معالجة!$B$3:$X$3,J$2,معالجة!$B$4:$X$4),""))</f>
        <v/>
      </c>
      <c r="K179" s="51" t="str">
        <f>IF(OR(K$2="",COUNT(الرصد!$C179:$Y179)=0),"",IFERROR(SUMIF(معالجة!$B$3:$X$3,K$2,الرصد!$C179:$Y179)/SUMIF(معالجة!$B$3:$X$3,K$2,معالجة!$B$4:$X$4),""))</f>
        <v/>
      </c>
      <c r="L179" s="51" t="str">
        <f>IF(OR(L$2="",COUNT(الرصد!$C179:$Y179)=0),"",IFERROR(SUMIF(معالجة!$B$3:$X$3,L$2,الرصد!$C179:$Y179)/SUMIF(معالجة!$B$3:$X$3,L$2,معالجة!$B$4:$X$4),""))</f>
        <v/>
      </c>
      <c r="M179" s="51" t="str">
        <f>IF(OR(M$2="",COUNT(الرصد!$C179:$Y179)=0),"",IFERROR(SUMIF(معالجة!$B$3:$X$3,M$2,الرصد!$C179:$Y179)/SUMIF(معالجة!$B$3:$X$3,M$2,معالجة!$B$4:$X$4),""))</f>
        <v/>
      </c>
      <c r="N179" s="51" t="str">
        <f>IF(OR(N$2="",COUNT(الرصد!$C179:$Y179)=0),"",IFERROR(SUMIF(معالجة!$B$3:$X$3,N$2,الرصد!$C179:$Y179)/SUMIF(معالجة!$B$3:$X$3,N$2,معالجة!$B$4:$X$4),""))</f>
        <v/>
      </c>
      <c r="O179" s="51" t="str">
        <f>IF(OR(O$2="",COUNT(الرصد!$C179:$Y179)=0),"",IFERROR(SUMIF(معالجة!$B$3:$X$3,O$2,الرصد!$C179:$Y179)/SUMIF(معالجة!$B$3:$X$3,O$2,معالجة!$B$4:$X$4),""))</f>
        <v/>
      </c>
      <c r="P179" s="51" t="str">
        <f>IF(OR(P$2="",COUNT(الرصد!$C179:$Y179)=0),"",IFERROR(SUMIF(معالجة!$B$3:$X$3,P$2,الرصد!$C179:$Y179)/SUMIF(معالجة!$B$3:$X$3,P$2,معالجة!$B$4:$X$4),""))</f>
        <v/>
      </c>
      <c r="Q179" s="51" t="str">
        <f>IF(OR(Q$2="",COUNT(الرصد!$C179:$Y179)=0),"",IFERROR(SUMIF(معالجة!$B$3:$X$3,Q$2,الرصد!$C179:$Y179)/SUMIF(معالجة!$B$3:$X$3,Q$2,معالجة!$B$4:$X$4),""))</f>
        <v/>
      </c>
      <c r="R179" s="51" t="str">
        <f>IF(OR(R$2="",COUNT(الرصد!$C179:$Y179)=0),"",IFERROR(SUMIF(معالجة!$B$3:$X$3,R$2,الرصد!$C179:$Y179)/SUMIF(معالجة!$B$3:$X$3,R$2,معالجة!$B$4:$X$4),""))</f>
        <v/>
      </c>
      <c r="S179" s="51" t="str">
        <f>IF(OR(S$2="",COUNT(الرصد!$C179:$Y179)=0),"",IFERROR(SUMIF(معالجة!$B$3:$X$3,S$2,الرصد!$C179:$Y179)/SUMIF(معالجة!$B$3:$X$3,S$2,معالجة!$B$4:$X$4),""))</f>
        <v/>
      </c>
      <c r="T179" s="51" t="str">
        <f>IF(OR(T$2="",COUNT(الرصد!$C179:$Y179)=0),"",IFERROR(SUMIF(معالجة!$B$3:$X$3,T$2,الرصد!$C179:$Y179)/SUMIF(معالجة!$B$3:$X$3,T$2,معالجة!$B$4:$X$4),""))</f>
        <v/>
      </c>
      <c r="U179" s="51" t="str">
        <f>IF(OR(U$2="",COUNT(الرصد!$C179:$Y179)=0),"",IFERROR(SUMIF(معالجة!$B$3:$X$3,U$2,الرصد!$C179:$Y179)/SUMIF(معالجة!$B$3:$X$3,U$2,معالجة!$B$4:$X$4),""))</f>
        <v/>
      </c>
      <c r="V179" s="51" t="str">
        <f>IF(OR(V$2="",COUNT(الرصد!$C179:$Y179)=0),"",IFERROR(SUMIF(معالجة!$B$3:$X$3,V$2,الرصد!$C179:$Y179)/SUMIF(معالجة!$B$3:$X$3,V$2,معالجة!$B$4:$X$4),""))</f>
        <v/>
      </c>
      <c r="W179" s="51" t="str">
        <f>IFERROR(C179/المهارات!$G$27,"")</f>
        <v/>
      </c>
    </row>
    <row r="180" spans="1:23" ht="14.25" customHeight="1">
      <c r="A180" s="46" t="s">
        <v>249</v>
      </c>
      <c r="B180" s="46" t="s">
        <v>25</v>
      </c>
      <c r="C180" s="52" t="str">
        <f>IF(COUNT(الرصد!C180:Y180)=0,"",SUM(الرصد!C180:Y180))</f>
        <v/>
      </c>
      <c r="D180" s="51" t="str">
        <f>IF(OR(D$2="",COUNT(الرصد!$C180:$Y180)=0),"",IFERROR(SUMIF(معالجة!$B$3:$X$3,D$2,الرصد!$C180:$Y180)/SUMIF(معالجة!$B$3:$X$3,D$2,معالجة!$B$4:$X$4),""))</f>
        <v/>
      </c>
      <c r="E180" s="51" t="str">
        <f>IF(OR(E$2="",COUNT(الرصد!$C180:$Y180)=0),"",IFERROR(SUMIF(معالجة!$B$3:$X$3,E$2,الرصد!$C180:$Y180)/SUMIF(معالجة!$B$3:$X$3,E$2,معالجة!$B$4:$X$4),""))</f>
        <v/>
      </c>
      <c r="F180" s="51" t="str">
        <f>IF(OR(F$2="",COUNT(الرصد!$C180:$Y180)=0),"",IFERROR(SUMIF(معالجة!$B$3:$X$3,F$2,الرصد!$C180:$Y180)/SUMIF(معالجة!$B$3:$X$3,F$2,معالجة!$B$4:$X$4),""))</f>
        <v/>
      </c>
      <c r="G180" s="51" t="str">
        <f>IF(OR(G$2="",COUNT(الرصد!$C180:$Y180)=0),"",IFERROR(SUMIF(معالجة!$B$3:$X$3,G$2,الرصد!$C180:$Y180)/SUMIF(معالجة!$B$3:$X$3,G$2,معالجة!$B$4:$X$4),""))</f>
        <v/>
      </c>
      <c r="H180" s="51" t="str">
        <f>IF(OR(H$2="",COUNT(الرصد!$C180:$Y180)=0),"",IFERROR(SUMIF(معالجة!$B$3:$X$3,H$2,الرصد!$C180:$Y180)/SUMIF(معالجة!$B$3:$X$3,H$2,معالجة!$B$4:$X$4),""))</f>
        <v/>
      </c>
      <c r="I180" s="51" t="str">
        <f>IF(OR(I$2="",COUNT(الرصد!$C180:$Y180)=0),"",IFERROR(SUMIF(معالجة!$B$3:$X$3,I$2,الرصد!$C180:$Y180)/SUMIF(معالجة!$B$3:$X$3,I$2,معالجة!$B$4:$X$4),""))</f>
        <v/>
      </c>
      <c r="J180" s="51" t="str">
        <f>IF(OR(J$2="",COUNT(الرصد!$C180:$Y180)=0),"",IFERROR(SUMIF(معالجة!$B$3:$X$3,J$2,الرصد!$C180:$Y180)/SUMIF(معالجة!$B$3:$X$3,J$2,معالجة!$B$4:$X$4),""))</f>
        <v/>
      </c>
      <c r="K180" s="51" t="str">
        <f>IF(OR(K$2="",COUNT(الرصد!$C180:$Y180)=0),"",IFERROR(SUMIF(معالجة!$B$3:$X$3,K$2,الرصد!$C180:$Y180)/SUMIF(معالجة!$B$3:$X$3,K$2,معالجة!$B$4:$X$4),""))</f>
        <v/>
      </c>
      <c r="L180" s="51" t="str">
        <f>IF(OR(L$2="",COUNT(الرصد!$C180:$Y180)=0),"",IFERROR(SUMIF(معالجة!$B$3:$X$3,L$2,الرصد!$C180:$Y180)/SUMIF(معالجة!$B$3:$X$3,L$2,معالجة!$B$4:$X$4),""))</f>
        <v/>
      </c>
      <c r="M180" s="51" t="str">
        <f>IF(OR(M$2="",COUNT(الرصد!$C180:$Y180)=0),"",IFERROR(SUMIF(معالجة!$B$3:$X$3,M$2,الرصد!$C180:$Y180)/SUMIF(معالجة!$B$3:$X$3,M$2,معالجة!$B$4:$X$4),""))</f>
        <v/>
      </c>
      <c r="N180" s="51" t="str">
        <f>IF(OR(N$2="",COUNT(الرصد!$C180:$Y180)=0),"",IFERROR(SUMIF(معالجة!$B$3:$X$3,N$2,الرصد!$C180:$Y180)/SUMIF(معالجة!$B$3:$X$3,N$2,معالجة!$B$4:$X$4),""))</f>
        <v/>
      </c>
      <c r="O180" s="51" t="str">
        <f>IF(OR(O$2="",COUNT(الرصد!$C180:$Y180)=0),"",IFERROR(SUMIF(معالجة!$B$3:$X$3,O$2,الرصد!$C180:$Y180)/SUMIF(معالجة!$B$3:$X$3,O$2,معالجة!$B$4:$X$4),""))</f>
        <v/>
      </c>
      <c r="P180" s="51" t="str">
        <f>IF(OR(P$2="",COUNT(الرصد!$C180:$Y180)=0),"",IFERROR(SUMIF(معالجة!$B$3:$X$3,P$2,الرصد!$C180:$Y180)/SUMIF(معالجة!$B$3:$X$3,P$2,معالجة!$B$4:$X$4),""))</f>
        <v/>
      </c>
      <c r="Q180" s="51" t="str">
        <f>IF(OR(Q$2="",COUNT(الرصد!$C180:$Y180)=0),"",IFERROR(SUMIF(معالجة!$B$3:$X$3,Q$2,الرصد!$C180:$Y180)/SUMIF(معالجة!$B$3:$X$3,Q$2,معالجة!$B$4:$X$4),""))</f>
        <v/>
      </c>
      <c r="R180" s="51" t="str">
        <f>IF(OR(R$2="",COUNT(الرصد!$C180:$Y180)=0),"",IFERROR(SUMIF(معالجة!$B$3:$X$3,R$2,الرصد!$C180:$Y180)/SUMIF(معالجة!$B$3:$X$3,R$2,معالجة!$B$4:$X$4),""))</f>
        <v/>
      </c>
      <c r="S180" s="51" t="str">
        <f>IF(OR(S$2="",COUNT(الرصد!$C180:$Y180)=0),"",IFERROR(SUMIF(معالجة!$B$3:$X$3,S$2,الرصد!$C180:$Y180)/SUMIF(معالجة!$B$3:$X$3,S$2,معالجة!$B$4:$X$4),""))</f>
        <v/>
      </c>
      <c r="T180" s="51" t="str">
        <f>IF(OR(T$2="",COUNT(الرصد!$C180:$Y180)=0),"",IFERROR(SUMIF(معالجة!$B$3:$X$3,T$2,الرصد!$C180:$Y180)/SUMIF(معالجة!$B$3:$X$3,T$2,معالجة!$B$4:$X$4),""))</f>
        <v/>
      </c>
      <c r="U180" s="51" t="str">
        <f>IF(OR(U$2="",COUNT(الرصد!$C180:$Y180)=0),"",IFERROR(SUMIF(معالجة!$B$3:$X$3,U$2,الرصد!$C180:$Y180)/SUMIF(معالجة!$B$3:$X$3,U$2,معالجة!$B$4:$X$4),""))</f>
        <v/>
      </c>
      <c r="V180" s="51" t="str">
        <f>IF(OR(V$2="",COUNT(الرصد!$C180:$Y180)=0),"",IFERROR(SUMIF(معالجة!$B$3:$X$3,V$2,الرصد!$C180:$Y180)/SUMIF(معالجة!$B$3:$X$3,V$2,معالجة!$B$4:$X$4),""))</f>
        <v/>
      </c>
      <c r="W180" s="51" t="str">
        <f>IFERROR(C180/المهارات!$G$27,"")</f>
        <v/>
      </c>
    </row>
    <row r="181" spans="1:23" ht="14.25" customHeight="1">
      <c r="A181" s="42" t="s">
        <v>250</v>
      </c>
      <c r="B181" s="42" t="s">
        <v>25</v>
      </c>
      <c r="C181" s="50" t="str">
        <f>IF(COUNT(الرصد!C181:Y181)=0,"",SUM(الرصد!C181:Y181))</f>
        <v/>
      </c>
      <c r="D181" s="51" t="str">
        <f>IF(OR(D$2="",COUNT(الرصد!$C181:$Y181)=0),"",IFERROR(SUMIF(معالجة!$B$3:$X$3,D$2,الرصد!$C181:$Y181)/SUMIF(معالجة!$B$3:$X$3,D$2,معالجة!$B$4:$X$4),""))</f>
        <v/>
      </c>
      <c r="E181" s="51" t="str">
        <f>IF(OR(E$2="",COUNT(الرصد!$C181:$Y181)=0),"",IFERROR(SUMIF(معالجة!$B$3:$X$3,E$2,الرصد!$C181:$Y181)/SUMIF(معالجة!$B$3:$X$3,E$2,معالجة!$B$4:$X$4),""))</f>
        <v/>
      </c>
      <c r="F181" s="51" t="str">
        <f>IF(OR(F$2="",COUNT(الرصد!$C181:$Y181)=0),"",IFERROR(SUMIF(معالجة!$B$3:$X$3,F$2,الرصد!$C181:$Y181)/SUMIF(معالجة!$B$3:$X$3,F$2,معالجة!$B$4:$X$4),""))</f>
        <v/>
      </c>
      <c r="G181" s="51" t="str">
        <f>IF(OR(G$2="",COUNT(الرصد!$C181:$Y181)=0),"",IFERROR(SUMIF(معالجة!$B$3:$X$3,G$2,الرصد!$C181:$Y181)/SUMIF(معالجة!$B$3:$X$3,G$2,معالجة!$B$4:$X$4),""))</f>
        <v/>
      </c>
      <c r="H181" s="51" t="str">
        <f>IF(OR(H$2="",COUNT(الرصد!$C181:$Y181)=0),"",IFERROR(SUMIF(معالجة!$B$3:$X$3,H$2,الرصد!$C181:$Y181)/SUMIF(معالجة!$B$3:$X$3,H$2,معالجة!$B$4:$X$4),""))</f>
        <v/>
      </c>
      <c r="I181" s="51" t="str">
        <f>IF(OR(I$2="",COUNT(الرصد!$C181:$Y181)=0),"",IFERROR(SUMIF(معالجة!$B$3:$X$3,I$2,الرصد!$C181:$Y181)/SUMIF(معالجة!$B$3:$X$3,I$2,معالجة!$B$4:$X$4),""))</f>
        <v/>
      </c>
      <c r="J181" s="51" t="str">
        <f>IF(OR(J$2="",COUNT(الرصد!$C181:$Y181)=0),"",IFERROR(SUMIF(معالجة!$B$3:$X$3,J$2,الرصد!$C181:$Y181)/SUMIF(معالجة!$B$3:$X$3,J$2,معالجة!$B$4:$X$4),""))</f>
        <v/>
      </c>
      <c r="K181" s="51" t="str">
        <f>IF(OR(K$2="",COUNT(الرصد!$C181:$Y181)=0),"",IFERROR(SUMIF(معالجة!$B$3:$X$3,K$2,الرصد!$C181:$Y181)/SUMIF(معالجة!$B$3:$X$3,K$2,معالجة!$B$4:$X$4),""))</f>
        <v/>
      </c>
      <c r="L181" s="51" t="str">
        <f>IF(OR(L$2="",COUNT(الرصد!$C181:$Y181)=0),"",IFERROR(SUMIF(معالجة!$B$3:$X$3,L$2,الرصد!$C181:$Y181)/SUMIF(معالجة!$B$3:$X$3,L$2,معالجة!$B$4:$X$4),""))</f>
        <v/>
      </c>
      <c r="M181" s="51" t="str">
        <f>IF(OR(M$2="",COUNT(الرصد!$C181:$Y181)=0),"",IFERROR(SUMIF(معالجة!$B$3:$X$3,M$2,الرصد!$C181:$Y181)/SUMIF(معالجة!$B$3:$X$3,M$2,معالجة!$B$4:$X$4),""))</f>
        <v/>
      </c>
      <c r="N181" s="51" t="str">
        <f>IF(OR(N$2="",COUNT(الرصد!$C181:$Y181)=0),"",IFERROR(SUMIF(معالجة!$B$3:$X$3,N$2,الرصد!$C181:$Y181)/SUMIF(معالجة!$B$3:$X$3,N$2,معالجة!$B$4:$X$4),""))</f>
        <v/>
      </c>
      <c r="O181" s="51" t="str">
        <f>IF(OR(O$2="",COUNT(الرصد!$C181:$Y181)=0),"",IFERROR(SUMIF(معالجة!$B$3:$X$3,O$2,الرصد!$C181:$Y181)/SUMIF(معالجة!$B$3:$X$3,O$2,معالجة!$B$4:$X$4),""))</f>
        <v/>
      </c>
      <c r="P181" s="51" t="str">
        <f>IF(OR(P$2="",COUNT(الرصد!$C181:$Y181)=0),"",IFERROR(SUMIF(معالجة!$B$3:$X$3,P$2,الرصد!$C181:$Y181)/SUMIF(معالجة!$B$3:$X$3,P$2,معالجة!$B$4:$X$4),""))</f>
        <v/>
      </c>
      <c r="Q181" s="51" t="str">
        <f>IF(OR(Q$2="",COUNT(الرصد!$C181:$Y181)=0),"",IFERROR(SUMIF(معالجة!$B$3:$X$3,Q$2,الرصد!$C181:$Y181)/SUMIF(معالجة!$B$3:$X$3,Q$2,معالجة!$B$4:$X$4),""))</f>
        <v/>
      </c>
      <c r="R181" s="51" t="str">
        <f>IF(OR(R$2="",COUNT(الرصد!$C181:$Y181)=0),"",IFERROR(SUMIF(معالجة!$B$3:$X$3,R$2,الرصد!$C181:$Y181)/SUMIF(معالجة!$B$3:$X$3,R$2,معالجة!$B$4:$X$4),""))</f>
        <v/>
      </c>
      <c r="S181" s="51" t="str">
        <f>IF(OR(S$2="",COUNT(الرصد!$C181:$Y181)=0),"",IFERROR(SUMIF(معالجة!$B$3:$X$3,S$2,الرصد!$C181:$Y181)/SUMIF(معالجة!$B$3:$X$3,S$2,معالجة!$B$4:$X$4),""))</f>
        <v/>
      </c>
      <c r="T181" s="51" t="str">
        <f>IF(OR(T$2="",COUNT(الرصد!$C181:$Y181)=0),"",IFERROR(SUMIF(معالجة!$B$3:$X$3,T$2,الرصد!$C181:$Y181)/SUMIF(معالجة!$B$3:$X$3,T$2,معالجة!$B$4:$X$4),""))</f>
        <v/>
      </c>
      <c r="U181" s="51" t="str">
        <f>IF(OR(U$2="",COUNT(الرصد!$C181:$Y181)=0),"",IFERROR(SUMIF(معالجة!$B$3:$X$3,U$2,الرصد!$C181:$Y181)/SUMIF(معالجة!$B$3:$X$3,U$2,معالجة!$B$4:$X$4),""))</f>
        <v/>
      </c>
      <c r="V181" s="51" t="str">
        <f>IF(OR(V$2="",COUNT(الرصد!$C181:$Y181)=0),"",IFERROR(SUMIF(معالجة!$B$3:$X$3,V$2,الرصد!$C181:$Y181)/SUMIF(معالجة!$B$3:$X$3,V$2,معالجة!$B$4:$X$4),""))</f>
        <v/>
      </c>
      <c r="W181" s="51" t="str">
        <f>IFERROR(C181/المهارات!$G$27,"")</f>
        <v/>
      </c>
    </row>
    <row r="182" spans="1:23" ht="14.25" customHeight="1">
      <c r="A182" s="46" t="s">
        <v>251</v>
      </c>
      <c r="B182" s="46" t="s">
        <v>25</v>
      </c>
      <c r="C182" s="52" t="str">
        <f>IF(COUNT(الرصد!C182:Y182)=0,"",SUM(الرصد!C182:Y182))</f>
        <v/>
      </c>
      <c r="D182" s="51" t="str">
        <f>IF(OR(D$2="",COUNT(الرصد!$C182:$Y182)=0),"",IFERROR(SUMIF(معالجة!$B$3:$X$3,D$2,الرصد!$C182:$Y182)/SUMIF(معالجة!$B$3:$X$3,D$2,معالجة!$B$4:$X$4),""))</f>
        <v/>
      </c>
      <c r="E182" s="51" t="str">
        <f>IF(OR(E$2="",COUNT(الرصد!$C182:$Y182)=0),"",IFERROR(SUMIF(معالجة!$B$3:$X$3,E$2,الرصد!$C182:$Y182)/SUMIF(معالجة!$B$3:$X$3,E$2,معالجة!$B$4:$X$4),""))</f>
        <v/>
      </c>
      <c r="F182" s="51" t="str">
        <f>IF(OR(F$2="",COUNT(الرصد!$C182:$Y182)=0),"",IFERROR(SUMIF(معالجة!$B$3:$X$3,F$2,الرصد!$C182:$Y182)/SUMIF(معالجة!$B$3:$X$3,F$2,معالجة!$B$4:$X$4),""))</f>
        <v/>
      </c>
      <c r="G182" s="51" t="str">
        <f>IF(OR(G$2="",COUNT(الرصد!$C182:$Y182)=0),"",IFERROR(SUMIF(معالجة!$B$3:$X$3,G$2,الرصد!$C182:$Y182)/SUMIF(معالجة!$B$3:$X$3,G$2,معالجة!$B$4:$X$4),""))</f>
        <v/>
      </c>
      <c r="H182" s="51" t="str">
        <f>IF(OR(H$2="",COUNT(الرصد!$C182:$Y182)=0),"",IFERROR(SUMIF(معالجة!$B$3:$X$3,H$2,الرصد!$C182:$Y182)/SUMIF(معالجة!$B$3:$X$3,H$2,معالجة!$B$4:$X$4),""))</f>
        <v/>
      </c>
      <c r="I182" s="51" t="str">
        <f>IF(OR(I$2="",COUNT(الرصد!$C182:$Y182)=0),"",IFERROR(SUMIF(معالجة!$B$3:$X$3,I$2,الرصد!$C182:$Y182)/SUMIF(معالجة!$B$3:$X$3,I$2,معالجة!$B$4:$X$4),""))</f>
        <v/>
      </c>
      <c r="J182" s="51" t="str">
        <f>IF(OR(J$2="",COUNT(الرصد!$C182:$Y182)=0),"",IFERROR(SUMIF(معالجة!$B$3:$X$3,J$2,الرصد!$C182:$Y182)/SUMIF(معالجة!$B$3:$X$3,J$2,معالجة!$B$4:$X$4),""))</f>
        <v/>
      </c>
      <c r="K182" s="51" t="str">
        <f>IF(OR(K$2="",COUNT(الرصد!$C182:$Y182)=0),"",IFERROR(SUMIF(معالجة!$B$3:$X$3,K$2,الرصد!$C182:$Y182)/SUMIF(معالجة!$B$3:$X$3,K$2,معالجة!$B$4:$X$4),""))</f>
        <v/>
      </c>
      <c r="L182" s="51" t="str">
        <f>IF(OR(L$2="",COUNT(الرصد!$C182:$Y182)=0),"",IFERROR(SUMIF(معالجة!$B$3:$X$3,L$2,الرصد!$C182:$Y182)/SUMIF(معالجة!$B$3:$X$3,L$2,معالجة!$B$4:$X$4),""))</f>
        <v/>
      </c>
      <c r="M182" s="51" t="str">
        <f>IF(OR(M$2="",COUNT(الرصد!$C182:$Y182)=0),"",IFERROR(SUMIF(معالجة!$B$3:$X$3,M$2,الرصد!$C182:$Y182)/SUMIF(معالجة!$B$3:$X$3,M$2,معالجة!$B$4:$X$4),""))</f>
        <v/>
      </c>
      <c r="N182" s="51" t="str">
        <f>IF(OR(N$2="",COUNT(الرصد!$C182:$Y182)=0),"",IFERROR(SUMIF(معالجة!$B$3:$X$3,N$2,الرصد!$C182:$Y182)/SUMIF(معالجة!$B$3:$X$3,N$2,معالجة!$B$4:$X$4),""))</f>
        <v/>
      </c>
      <c r="O182" s="51" t="str">
        <f>IF(OR(O$2="",COUNT(الرصد!$C182:$Y182)=0),"",IFERROR(SUMIF(معالجة!$B$3:$X$3,O$2,الرصد!$C182:$Y182)/SUMIF(معالجة!$B$3:$X$3,O$2,معالجة!$B$4:$X$4),""))</f>
        <v/>
      </c>
      <c r="P182" s="51" t="str">
        <f>IF(OR(P$2="",COUNT(الرصد!$C182:$Y182)=0),"",IFERROR(SUMIF(معالجة!$B$3:$X$3,P$2,الرصد!$C182:$Y182)/SUMIF(معالجة!$B$3:$X$3,P$2,معالجة!$B$4:$X$4),""))</f>
        <v/>
      </c>
      <c r="Q182" s="51" t="str">
        <f>IF(OR(Q$2="",COUNT(الرصد!$C182:$Y182)=0),"",IFERROR(SUMIF(معالجة!$B$3:$X$3,Q$2,الرصد!$C182:$Y182)/SUMIF(معالجة!$B$3:$X$3,Q$2,معالجة!$B$4:$X$4),""))</f>
        <v/>
      </c>
      <c r="R182" s="51" t="str">
        <f>IF(OR(R$2="",COUNT(الرصد!$C182:$Y182)=0),"",IFERROR(SUMIF(معالجة!$B$3:$X$3,R$2,الرصد!$C182:$Y182)/SUMIF(معالجة!$B$3:$X$3,R$2,معالجة!$B$4:$X$4),""))</f>
        <v/>
      </c>
      <c r="S182" s="51" t="str">
        <f>IF(OR(S$2="",COUNT(الرصد!$C182:$Y182)=0),"",IFERROR(SUMIF(معالجة!$B$3:$X$3,S$2,الرصد!$C182:$Y182)/SUMIF(معالجة!$B$3:$X$3,S$2,معالجة!$B$4:$X$4),""))</f>
        <v/>
      </c>
      <c r="T182" s="51" t="str">
        <f>IF(OR(T$2="",COUNT(الرصد!$C182:$Y182)=0),"",IFERROR(SUMIF(معالجة!$B$3:$X$3,T$2,الرصد!$C182:$Y182)/SUMIF(معالجة!$B$3:$X$3,T$2,معالجة!$B$4:$X$4),""))</f>
        <v/>
      </c>
      <c r="U182" s="51" t="str">
        <f>IF(OR(U$2="",COUNT(الرصد!$C182:$Y182)=0),"",IFERROR(SUMIF(معالجة!$B$3:$X$3,U$2,الرصد!$C182:$Y182)/SUMIF(معالجة!$B$3:$X$3,U$2,معالجة!$B$4:$X$4),""))</f>
        <v/>
      </c>
      <c r="V182" s="51" t="str">
        <f>IF(OR(V$2="",COUNT(الرصد!$C182:$Y182)=0),"",IFERROR(SUMIF(معالجة!$B$3:$X$3,V$2,الرصد!$C182:$Y182)/SUMIF(معالجة!$B$3:$X$3,V$2,معالجة!$B$4:$X$4),""))</f>
        <v/>
      </c>
      <c r="W182" s="51" t="str">
        <f>IFERROR(C182/المهارات!$G$27,"")</f>
        <v/>
      </c>
    </row>
    <row r="183" spans="1:23" ht="14.25" customHeight="1">
      <c r="A183" s="42" t="s">
        <v>252</v>
      </c>
      <c r="B183" s="42" t="s">
        <v>25</v>
      </c>
      <c r="C183" s="50" t="str">
        <f>IF(COUNT(الرصد!C183:Y183)=0,"",SUM(الرصد!C183:Y183))</f>
        <v/>
      </c>
      <c r="D183" s="51" t="str">
        <f>IF(OR(D$2="",COUNT(الرصد!$C183:$Y183)=0),"",IFERROR(SUMIF(معالجة!$B$3:$X$3,D$2,الرصد!$C183:$Y183)/SUMIF(معالجة!$B$3:$X$3,D$2,معالجة!$B$4:$X$4),""))</f>
        <v/>
      </c>
      <c r="E183" s="51" t="str">
        <f>IF(OR(E$2="",COUNT(الرصد!$C183:$Y183)=0),"",IFERROR(SUMIF(معالجة!$B$3:$X$3,E$2,الرصد!$C183:$Y183)/SUMIF(معالجة!$B$3:$X$3,E$2,معالجة!$B$4:$X$4),""))</f>
        <v/>
      </c>
      <c r="F183" s="51" t="str">
        <f>IF(OR(F$2="",COUNT(الرصد!$C183:$Y183)=0),"",IFERROR(SUMIF(معالجة!$B$3:$X$3,F$2,الرصد!$C183:$Y183)/SUMIF(معالجة!$B$3:$X$3,F$2,معالجة!$B$4:$X$4),""))</f>
        <v/>
      </c>
      <c r="G183" s="51" t="str">
        <f>IF(OR(G$2="",COUNT(الرصد!$C183:$Y183)=0),"",IFERROR(SUMIF(معالجة!$B$3:$X$3,G$2,الرصد!$C183:$Y183)/SUMIF(معالجة!$B$3:$X$3,G$2,معالجة!$B$4:$X$4),""))</f>
        <v/>
      </c>
      <c r="H183" s="51" t="str">
        <f>IF(OR(H$2="",COUNT(الرصد!$C183:$Y183)=0),"",IFERROR(SUMIF(معالجة!$B$3:$X$3,H$2,الرصد!$C183:$Y183)/SUMIF(معالجة!$B$3:$X$3,H$2,معالجة!$B$4:$X$4),""))</f>
        <v/>
      </c>
      <c r="I183" s="51" t="str">
        <f>IF(OR(I$2="",COUNT(الرصد!$C183:$Y183)=0),"",IFERROR(SUMIF(معالجة!$B$3:$X$3,I$2,الرصد!$C183:$Y183)/SUMIF(معالجة!$B$3:$X$3,I$2,معالجة!$B$4:$X$4),""))</f>
        <v/>
      </c>
      <c r="J183" s="51" t="str">
        <f>IF(OR(J$2="",COUNT(الرصد!$C183:$Y183)=0),"",IFERROR(SUMIF(معالجة!$B$3:$X$3,J$2,الرصد!$C183:$Y183)/SUMIF(معالجة!$B$3:$X$3,J$2,معالجة!$B$4:$X$4),""))</f>
        <v/>
      </c>
      <c r="K183" s="51" t="str">
        <f>IF(OR(K$2="",COUNT(الرصد!$C183:$Y183)=0),"",IFERROR(SUMIF(معالجة!$B$3:$X$3,K$2,الرصد!$C183:$Y183)/SUMIF(معالجة!$B$3:$X$3,K$2,معالجة!$B$4:$X$4),""))</f>
        <v/>
      </c>
      <c r="L183" s="51" t="str">
        <f>IF(OR(L$2="",COUNT(الرصد!$C183:$Y183)=0),"",IFERROR(SUMIF(معالجة!$B$3:$X$3,L$2,الرصد!$C183:$Y183)/SUMIF(معالجة!$B$3:$X$3,L$2,معالجة!$B$4:$X$4),""))</f>
        <v/>
      </c>
      <c r="M183" s="51" t="str">
        <f>IF(OR(M$2="",COUNT(الرصد!$C183:$Y183)=0),"",IFERROR(SUMIF(معالجة!$B$3:$X$3,M$2,الرصد!$C183:$Y183)/SUMIF(معالجة!$B$3:$X$3,M$2,معالجة!$B$4:$X$4),""))</f>
        <v/>
      </c>
      <c r="N183" s="51" t="str">
        <f>IF(OR(N$2="",COUNT(الرصد!$C183:$Y183)=0),"",IFERROR(SUMIF(معالجة!$B$3:$X$3,N$2,الرصد!$C183:$Y183)/SUMIF(معالجة!$B$3:$X$3,N$2,معالجة!$B$4:$X$4),""))</f>
        <v/>
      </c>
      <c r="O183" s="51" t="str">
        <f>IF(OR(O$2="",COUNT(الرصد!$C183:$Y183)=0),"",IFERROR(SUMIF(معالجة!$B$3:$X$3,O$2,الرصد!$C183:$Y183)/SUMIF(معالجة!$B$3:$X$3,O$2,معالجة!$B$4:$X$4),""))</f>
        <v/>
      </c>
      <c r="P183" s="51" t="str">
        <f>IF(OR(P$2="",COUNT(الرصد!$C183:$Y183)=0),"",IFERROR(SUMIF(معالجة!$B$3:$X$3,P$2,الرصد!$C183:$Y183)/SUMIF(معالجة!$B$3:$X$3,P$2,معالجة!$B$4:$X$4),""))</f>
        <v/>
      </c>
      <c r="Q183" s="51" t="str">
        <f>IF(OR(Q$2="",COUNT(الرصد!$C183:$Y183)=0),"",IFERROR(SUMIF(معالجة!$B$3:$X$3,Q$2,الرصد!$C183:$Y183)/SUMIF(معالجة!$B$3:$X$3,Q$2,معالجة!$B$4:$X$4),""))</f>
        <v/>
      </c>
      <c r="R183" s="51" t="str">
        <f>IF(OR(R$2="",COUNT(الرصد!$C183:$Y183)=0),"",IFERROR(SUMIF(معالجة!$B$3:$X$3,R$2,الرصد!$C183:$Y183)/SUMIF(معالجة!$B$3:$X$3,R$2,معالجة!$B$4:$X$4),""))</f>
        <v/>
      </c>
      <c r="S183" s="51" t="str">
        <f>IF(OR(S$2="",COUNT(الرصد!$C183:$Y183)=0),"",IFERROR(SUMIF(معالجة!$B$3:$X$3,S$2,الرصد!$C183:$Y183)/SUMIF(معالجة!$B$3:$X$3,S$2,معالجة!$B$4:$X$4),""))</f>
        <v/>
      </c>
      <c r="T183" s="51" t="str">
        <f>IF(OR(T$2="",COUNT(الرصد!$C183:$Y183)=0),"",IFERROR(SUMIF(معالجة!$B$3:$X$3,T$2,الرصد!$C183:$Y183)/SUMIF(معالجة!$B$3:$X$3,T$2,معالجة!$B$4:$X$4),""))</f>
        <v/>
      </c>
      <c r="U183" s="51" t="str">
        <f>IF(OR(U$2="",COUNT(الرصد!$C183:$Y183)=0),"",IFERROR(SUMIF(معالجة!$B$3:$X$3,U$2,الرصد!$C183:$Y183)/SUMIF(معالجة!$B$3:$X$3,U$2,معالجة!$B$4:$X$4),""))</f>
        <v/>
      </c>
      <c r="V183" s="51" t="str">
        <f>IF(OR(V$2="",COUNT(الرصد!$C183:$Y183)=0),"",IFERROR(SUMIF(معالجة!$B$3:$X$3,V$2,الرصد!$C183:$Y183)/SUMIF(معالجة!$B$3:$X$3,V$2,معالجة!$B$4:$X$4),""))</f>
        <v/>
      </c>
      <c r="W183" s="51" t="str">
        <f>IFERROR(C183/المهارات!$G$27,"")</f>
        <v/>
      </c>
    </row>
    <row r="184" spans="1:23" ht="14.25" customHeight="1">
      <c r="A184" s="46" t="s">
        <v>253</v>
      </c>
      <c r="B184" s="46" t="s">
        <v>25</v>
      </c>
      <c r="C184" s="52" t="str">
        <f>IF(COUNT(الرصد!C184:Y184)=0,"",SUM(الرصد!C184:Y184))</f>
        <v/>
      </c>
      <c r="D184" s="51" t="str">
        <f>IF(OR(D$2="",COUNT(الرصد!$C184:$Y184)=0),"",IFERROR(SUMIF(معالجة!$B$3:$X$3,D$2,الرصد!$C184:$Y184)/SUMIF(معالجة!$B$3:$X$3,D$2,معالجة!$B$4:$X$4),""))</f>
        <v/>
      </c>
      <c r="E184" s="51" t="str">
        <f>IF(OR(E$2="",COUNT(الرصد!$C184:$Y184)=0),"",IFERROR(SUMIF(معالجة!$B$3:$X$3,E$2,الرصد!$C184:$Y184)/SUMIF(معالجة!$B$3:$X$3,E$2,معالجة!$B$4:$X$4),""))</f>
        <v/>
      </c>
      <c r="F184" s="51" t="str">
        <f>IF(OR(F$2="",COUNT(الرصد!$C184:$Y184)=0),"",IFERROR(SUMIF(معالجة!$B$3:$X$3,F$2,الرصد!$C184:$Y184)/SUMIF(معالجة!$B$3:$X$3,F$2,معالجة!$B$4:$X$4),""))</f>
        <v/>
      </c>
      <c r="G184" s="51" t="str">
        <f>IF(OR(G$2="",COUNT(الرصد!$C184:$Y184)=0),"",IFERROR(SUMIF(معالجة!$B$3:$X$3,G$2,الرصد!$C184:$Y184)/SUMIF(معالجة!$B$3:$X$3,G$2,معالجة!$B$4:$X$4),""))</f>
        <v/>
      </c>
      <c r="H184" s="51" t="str">
        <f>IF(OR(H$2="",COUNT(الرصد!$C184:$Y184)=0),"",IFERROR(SUMIF(معالجة!$B$3:$X$3,H$2,الرصد!$C184:$Y184)/SUMIF(معالجة!$B$3:$X$3,H$2,معالجة!$B$4:$X$4),""))</f>
        <v/>
      </c>
      <c r="I184" s="51" t="str">
        <f>IF(OR(I$2="",COUNT(الرصد!$C184:$Y184)=0),"",IFERROR(SUMIF(معالجة!$B$3:$X$3,I$2,الرصد!$C184:$Y184)/SUMIF(معالجة!$B$3:$X$3,I$2,معالجة!$B$4:$X$4),""))</f>
        <v/>
      </c>
      <c r="J184" s="51" t="str">
        <f>IF(OR(J$2="",COUNT(الرصد!$C184:$Y184)=0),"",IFERROR(SUMIF(معالجة!$B$3:$X$3,J$2,الرصد!$C184:$Y184)/SUMIF(معالجة!$B$3:$X$3,J$2,معالجة!$B$4:$X$4),""))</f>
        <v/>
      </c>
      <c r="K184" s="51" t="str">
        <f>IF(OR(K$2="",COUNT(الرصد!$C184:$Y184)=0),"",IFERROR(SUMIF(معالجة!$B$3:$X$3,K$2,الرصد!$C184:$Y184)/SUMIF(معالجة!$B$3:$X$3,K$2,معالجة!$B$4:$X$4),""))</f>
        <v/>
      </c>
      <c r="L184" s="51" t="str">
        <f>IF(OR(L$2="",COUNT(الرصد!$C184:$Y184)=0),"",IFERROR(SUMIF(معالجة!$B$3:$X$3,L$2,الرصد!$C184:$Y184)/SUMIF(معالجة!$B$3:$X$3,L$2,معالجة!$B$4:$X$4),""))</f>
        <v/>
      </c>
      <c r="M184" s="51" t="str">
        <f>IF(OR(M$2="",COUNT(الرصد!$C184:$Y184)=0),"",IFERROR(SUMIF(معالجة!$B$3:$X$3,M$2,الرصد!$C184:$Y184)/SUMIF(معالجة!$B$3:$X$3,M$2,معالجة!$B$4:$X$4),""))</f>
        <v/>
      </c>
      <c r="N184" s="51" t="str">
        <f>IF(OR(N$2="",COUNT(الرصد!$C184:$Y184)=0),"",IFERROR(SUMIF(معالجة!$B$3:$X$3,N$2,الرصد!$C184:$Y184)/SUMIF(معالجة!$B$3:$X$3,N$2,معالجة!$B$4:$X$4),""))</f>
        <v/>
      </c>
      <c r="O184" s="51" t="str">
        <f>IF(OR(O$2="",COUNT(الرصد!$C184:$Y184)=0),"",IFERROR(SUMIF(معالجة!$B$3:$X$3,O$2,الرصد!$C184:$Y184)/SUMIF(معالجة!$B$3:$X$3,O$2,معالجة!$B$4:$X$4),""))</f>
        <v/>
      </c>
      <c r="P184" s="51" t="str">
        <f>IF(OR(P$2="",COUNT(الرصد!$C184:$Y184)=0),"",IFERROR(SUMIF(معالجة!$B$3:$X$3,P$2,الرصد!$C184:$Y184)/SUMIF(معالجة!$B$3:$X$3,P$2,معالجة!$B$4:$X$4),""))</f>
        <v/>
      </c>
      <c r="Q184" s="51" t="str">
        <f>IF(OR(Q$2="",COUNT(الرصد!$C184:$Y184)=0),"",IFERROR(SUMIF(معالجة!$B$3:$X$3,Q$2,الرصد!$C184:$Y184)/SUMIF(معالجة!$B$3:$X$3,Q$2,معالجة!$B$4:$X$4),""))</f>
        <v/>
      </c>
      <c r="R184" s="51" t="str">
        <f>IF(OR(R$2="",COUNT(الرصد!$C184:$Y184)=0),"",IFERROR(SUMIF(معالجة!$B$3:$X$3,R$2,الرصد!$C184:$Y184)/SUMIF(معالجة!$B$3:$X$3,R$2,معالجة!$B$4:$X$4),""))</f>
        <v/>
      </c>
      <c r="S184" s="51" t="str">
        <f>IF(OR(S$2="",COUNT(الرصد!$C184:$Y184)=0),"",IFERROR(SUMIF(معالجة!$B$3:$X$3,S$2,الرصد!$C184:$Y184)/SUMIF(معالجة!$B$3:$X$3,S$2,معالجة!$B$4:$X$4),""))</f>
        <v/>
      </c>
      <c r="T184" s="51" t="str">
        <f>IF(OR(T$2="",COUNT(الرصد!$C184:$Y184)=0),"",IFERROR(SUMIF(معالجة!$B$3:$X$3,T$2,الرصد!$C184:$Y184)/SUMIF(معالجة!$B$3:$X$3,T$2,معالجة!$B$4:$X$4),""))</f>
        <v/>
      </c>
      <c r="U184" s="51" t="str">
        <f>IF(OR(U$2="",COUNT(الرصد!$C184:$Y184)=0),"",IFERROR(SUMIF(معالجة!$B$3:$X$3,U$2,الرصد!$C184:$Y184)/SUMIF(معالجة!$B$3:$X$3,U$2,معالجة!$B$4:$X$4),""))</f>
        <v/>
      </c>
      <c r="V184" s="51" t="str">
        <f>IF(OR(V$2="",COUNT(الرصد!$C184:$Y184)=0),"",IFERROR(SUMIF(معالجة!$B$3:$X$3,V$2,الرصد!$C184:$Y184)/SUMIF(معالجة!$B$3:$X$3,V$2,معالجة!$B$4:$X$4),""))</f>
        <v/>
      </c>
      <c r="W184" s="51" t="str">
        <f>IFERROR(C184/المهارات!$G$27,"")</f>
        <v/>
      </c>
    </row>
    <row r="185" spans="1:23" ht="14.25" customHeight="1">
      <c r="A185" s="42" t="s">
        <v>254</v>
      </c>
      <c r="B185" s="42" t="s">
        <v>25</v>
      </c>
      <c r="C185" s="50" t="str">
        <f>IF(COUNT(الرصد!C185:Y185)=0,"",SUM(الرصد!C185:Y185))</f>
        <v/>
      </c>
      <c r="D185" s="51" t="str">
        <f>IF(OR(D$2="",COUNT(الرصد!$C185:$Y185)=0),"",IFERROR(SUMIF(معالجة!$B$3:$X$3,D$2,الرصد!$C185:$Y185)/SUMIF(معالجة!$B$3:$X$3,D$2,معالجة!$B$4:$X$4),""))</f>
        <v/>
      </c>
      <c r="E185" s="51" t="str">
        <f>IF(OR(E$2="",COUNT(الرصد!$C185:$Y185)=0),"",IFERROR(SUMIF(معالجة!$B$3:$X$3,E$2,الرصد!$C185:$Y185)/SUMIF(معالجة!$B$3:$X$3,E$2,معالجة!$B$4:$X$4),""))</f>
        <v/>
      </c>
      <c r="F185" s="51" t="str">
        <f>IF(OR(F$2="",COUNT(الرصد!$C185:$Y185)=0),"",IFERROR(SUMIF(معالجة!$B$3:$X$3,F$2,الرصد!$C185:$Y185)/SUMIF(معالجة!$B$3:$X$3,F$2,معالجة!$B$4:$X$4),""))</f>
        <v/>
      </c>
      <c r="G185" s="51" t="str">
        <f>IF(OR(G$2="",COUNT(الرصد!$C185:$Y185)=0),"",IFERROR(SUMIF(معالجة!$B$3:$X$3,G$2,الرصد!$C185:$Y185)/SUMIF(معالجة!$B$3:$X$3,G$2,معالجة!$B$4:$X$4),""))</f>
        <v/>
      </c>
      <c r="H185" s="51" t="str">
        <f>IF(OR(H$2="",COUNT(الرصد!$C185:$Y185)=0),"",IFERROR(SUMIF(معالجة!$B$3:$X$3,H$2,الرصد!$C185:$Y185)/SUMIF(معالجة!$B$3:$X$3,H$2,معالجة!$B$4:$X$4),""))</f>
        <v/>
      </c>
      <c r="I185" s="51" t="str">
        <f>IF(OR(I$2="",COUNT(الرصد!$C185:$Y185)=0),"",IFERROR(SUMIF(معالجة!$B$3:$X$3,I$2,الرصد!$C185:$Y185)/SUMIF(معالجة!$B$3:$X$3,I$2,معالجة!$B$4:$X$4),""))</f>
        <v/>
      </c>
      <c r="J185" s="51" t="str">
        <f>IF(OR(J$2="",COUNT(الرصد!$C185:$Y185)=0),"",IFERROR(SUMIF(معالجة!$B$3:$X$3,J$2,الرصد!$C185:$Y185)/SUMIF(معالجة!$B$3:$X$3,J$2,معالجة!$B$4:$X$4),""))</f>
        <v/>
      </c>
      <c r="K185" s="51" t="str">
        <f>IF(OR(K$2="",COUNT(الرصد!$C185:$Y185)=0),"",IFERROR(SUMIF(معالجة!$B$3:$X$3,K$2,الرصد!$C185:$Y185)/SUMIF(معالجة!$B$3:$X$3,K$2,معالجة!$B$4:$X$4),""))</f>
        <v/>
      </c>
      <c r="L185" s="51" t="str">
        <f>IF(OR(L$2="",COUNT(الرصد!$C185:$Y185)=0),"",IFERROR(SUMIF(معالجة!$B$3:$X$3,L$2,الرصد!$C185:$Y185)/SUMIF(معالجة!$B$3:$X$3,L$2,معالجة!$B$4:$X$4),""))</f>
        <v/>
      </c>
      <c r="M185" s="51" t="str">
        <f>IF(OR(M$2="",COUNT(الرصد!$C185:$Y185)=0),"",IFERROR(SUMIF(معالجة!$B$3:$X$3,M$2,الرصد!$C185:$Y185)/SUMIF(معالجة!$B$3:$X$3,M$2,معالجة!$B$4:$X$4),""))</f>
        <v/>
      </c>
      <c r="N185" s="51" t="str">
        <f>IF(OR(N$2="",COUNT(الرصد!$C185:$Y185)=0),"",IFERROR(SUMIF(معالجة!$B$3:$X$3,N$2,الرصد!$C185:$Y185)/SUMIF(معالجة!$B$3:$X$3,N$2,معالجة!$B$4:$X$4),""))</f>
        <v/>
      </c>
      <c r="O185" s="51" t="str">
        <f>IF(OR(O$2="",COUNT(الرصد!$C185:$Y185)=0),"",IFERROR(SUMIF(معالجة!$B$3:$X$3,O$2,الرصد!$C185:$Y185)/SUMIF(معالجة!$B$3:$X$3,O$2,معالجة!$B$4:$X$4),""))</f>
        <v/>
      </c>
      <c r="P185" s="51" t="str">
        <f>IF(OR(P$2="",COUNT(الرصد!$C185:$Y185)=0),"",IFERROR(SUMIF(معالجة!$B$3:$X$3,P$2,الرصد!$C185:$Y185)/SUMIF(معالجة!$B$3:$X$3,P$2,معالجة!$B$4:$X$4),""))</f>
        <v/>
      </c>
      <c r="Q185" s="51" t="str">
        <f>IF(OR(Q$2="",COUNT(الرصد!$C185:$Y185)=0),"",IFERROR(SUMIF(معالجة!$B$3:$X$3,Q$2,الرصد!$C185:$Y185)/SUMIF(معالجة!$B$3:$X$3,Q$2,معالجة!$B$4:$X$4),""))</f>
        <v/>
      </c>
      <c r="R185" s="51" t="str">
        <f>IF(OR(R$2="",COUNT(الرصد!$C185:$Y185)=0),"",IFERROR(SUMIF(معالجة!$B$3:$X$3,R$2,الرصد!$C185:$Y185)/SUMIF(معالجة!$B$3:$X$3,R$2,معالجة!$B$4:$X$4),""))</f>
        <v/>
      </c>
      <c r="S185" s="51" t="str">
        <f>IF(OR(S$2="",COUNT(الرصد!$C185:$Y185)=0),"",IFERROR(SUMIF(معالجة!$B$3:$X$3,S$2,الرصد!$C185:$Y185)/SUMIF(معالجة!$B$3:$X$3,S$2,معالجة!$B$4:$X$4),""))</f>
        <v/>
      </c>
      <c r="T185" s="51" t="str">
        <f>IF(OR(T$2="",COUNT(الرصد!$C185:$Y185)=0),"",IFERROR(SUMIF(معالجة!$B$3:$X$3,T$2,الرصد!$C185:$Y185)/SUMIF(معالجة!$B$3:$X$3,T$2,معالجة!$B$4:$X$4),""))</f>
        <v/>
      </c>
      <c r="U185" s="51" t="str">
        <f>IF(OR(U$2="",COUNT(الرصد!$C185:$Y185)=0),"",IFERROR(SUMIF(معالجة!$B$3:$X$3,U$2,الرصد!$C185:$Y185)/SUMIF(معالجة!$B$3:$X$3,U$2,معالجة!$B$4:$X$4),""))</f>
        <v/>
      </c>
      <c r="V185" s="51" t="str">
        <f>IF(OR(V$2="",COUNT(الرصد!$C185:$Y185)=0),"",IFERROR(SUMIF(معالجة!$B$3:$X$3,V$2,الرصد!$C185:$Y185)/SUMIF(معالجة!$B$3:$X$3,V$2,معالجة!$B$4:$X$4),""))</f>
        <v/>
      </c>
      <c r="W185" s="51" t="str">
        <f>IFERROR(C185/المهارات!$G$27,"")</f>
        <v/>
      </c>
    </row>
    <row r="186" spans="1:23" ht="14.25" customHeight="1">
      <c r="A186" s="46" t="s">
        <v>255</v>
      </c>
      <c r="B186" s="46" t="s">
        <v>25</v>
      </c>
      <c r="C186" s="52" t="str">
        <f>IF(COUNT(الرصد!C186:Y186)=0,"",SUM(الرصد!C186:Y186))</f>
        <v/>
      </c>
      <c r="D186" s="51" t="str">
        <f>IF(OR(D$2="",COUNT(الرصد!$C186:$Y186)=0),"",IFERROR(SUMIF(معالجة!$B$3:$X$3,D$2,الرصد!$C186:$Y186)/SUMIF(معالجة!$B$3:$X$3,D$2,معالجة!$B$4:$X$4),""))</f>
        <v/>
      </c>
      <c r="E186" s="51" t="str">
        <f>IF(OR(E$2="",COUNT(الرصد!$C186:$Y186)=0),"",IFERROR(SUMIF(معالجة!$B$3:$X$3,E$2,الرصد!$C186:$Y186)/SUMIF(معالجة!$B$3:$X$3,E$2,معالجة!$B$4:$X$4),""))</f>
        <v/>
      </c>
      <c r="F186" s="51" t="str">
        <f>IF(OR(F$2="",COUNT(الرصد!$C186:$Y186)=0),"",IFERROR(SUMIF(معالجة!$B$3:$X$3,F$2,الرصد!$C186:$Y186)/SUMIF(معالجة!$B$3:$X$3,F$2,معالجة!$B$4:$X$4),""))</f>
        <v/>
      </c>
      <c r="G186" s="51" t="str">
        <f>IF(OR(G$2="",COUNT(الرصد!$C186:$Y186)=0),"",IFERROR(SUMIF(معالجة!$B$3:$X$3,G$2,الرصد!$C186:$Y186)/SUMIF(معالجة!$B$3:$X$3,G$2,معالجة!$B$4:$X$4),""))</f>
        <v/>
      </c>
      <c r="H186" s="51" t="str">
        <f>IF(OR(H$2="",COUNT(الرصد!$C186:$Y186)=0),"",IFERROR(SUMIF(معالجة!$B$3:$X$3,H$2,الرصد!$C186:$Y186)/SUMIF(معالجة!$B$3:$X$3,H$2,معالجة!$B$4:$X$4),""))</f>
        <v/>
      </c>
      <c r="I186" s="51" t="str">
        <f>IF(OR(I$2="",COUNT(الرصد!$C186:$Y186)=0),"",IFERROR(SUMIF(معالجة!$B$3:$X$3,I$2,الرصد!$C186:$Y186)/SUMIF(معالجة!$B$3:$X$3,I$2,معالجة!$B$4:$X$4),""))</f>
        <v/>
      </c>
      <c r="J186" s="51" t="str">
        <f>IF(OR(J$2="",COUNT(الرصد!$C186:$Y186)=0),"",IFERROR(SUMIF(معالجة!$B$3:$X$3,J$2,الرصد!$C186:$Y186)/SUMIF(معالجة!$B$3:$X$3,J$2,معالجة!$B$4:$X$4),""))</f>
        <v/>
      </c>
      <c r="K186" s="51" t="str">
        <f>IF(OR(K$2="",COUNT(الرصد!$C186:$Y186)=0),"",IFERROR(SUMIF(معالجة!$B$3:$X$3,K$2,الرصد!$C186:$Y186)/SUMIF(معالجة!$B$3:$X$3,K$2,معالجة!$B$4:$X$4),""))</f>
        <v/>
      </c>
      <c r="L186" s="51" t="str">
        <f>IF(OR(L$2="",COUNT(الرصد!$C186:$Y186)=0),"",IFERROR(SUMIF(معالجة!$B$3:$X$3,L$2,الرصد!$C186:$Y186)/SUMIF(معالجة!$B$3:$X$3,L$2,معالجة!$B$4:$X$4),""))</f>
        <v/>
      </c>
      <c r="M186" s="51" t="str">
        <f>IF(OR(M$2="",COUNT(الرصد!$C186:$Y186)=0),"",IFERROR(SUMIF(معالجة!$B$3:$X$3,M$2,الرصد!$C186:$Y186)/SUMIF(معالجة!$B$3:$X$3,M$2,معالجة!$B$4:$X$4),""))</f>
        <v/>
      </c>
      <c r="N186" s="51" t="str">
        <f>IF(OR(N$2="",COUNT(الرصد!$C186:$Y186)=0),"",IFERROR(SUMIF(معالجة!$B$3:$X$3,N$2,الرصد!$C186:$Y186)/SUMIF(معالجة!$B$3:$X$3,N$2,معالجة!$B$4:$X$4),""))</f>
        <v/>
      </c>
      <c r="O186" s="51" t="str">
        <f>IF(OR(O$2="",COUNT(الرصد!$C186:$Y186)=0),"",IFERROR(SUMIF(معالجة!$B$3:$X$3,O$2,الرصد!$C186:$Y186)/SUMIF(معالجة!$B$3:$X$3,O$2,معالجة!$B$4:$X$4),""))</f>
        <v/>
      </c>
      <c r="P186" s="51" t="str">
        <f>IF(OR(P$2="",COUNT(الرصد!$C186:$Y186)=0),"",IFERROR(SUMIF(معالجة!$B$3:$X$3,P$2,الرصد!$C186:$Y186)/SUMIF(معالجة!$B$3:$X$3,P$2,معالجة!$B$4:$X$4),""))</f>
        <v/>
      </c>
      <c r="Q186" s="51" t="str">
        <f>IF(OR(Q$2="",COUNT(الرصد!$C186:$Y186)=0),"",IFERROR(SUMIF(معالجة!$B$3:$X$3,Q$2,الرصد!$C186:$Y186)/SUMIF(معالجة!$B$3:$X$3,Q$2,معالجة!$B$4:$X$4),""))</f>
        <v/>
      </c>
      <c r="R186" s="51" t="str">
        <f>IF(OR(R$2="",COUNT(الرصد!$C186:$Y186)=0),"",IFERROR(SUMIF(معالجة!$B$3:$X$3,R$2,الرصد!$C186:$Y186)/SUMIF(معالجة!$B$3:$X$3,R$2,معالجة!$B$4:$X$4),""))</f>
        <v/>
      </c>
      <c r="S186" s="51" t="str">
        <f>IF(OR(S$2="",COUNT(الرصد!$C186:$Y186)=0),"",IFERROR(SUMIF(معالجة!$B$3:$X$3,S$2,الرصد!$C186:$Y186)/SUMIF(معالجة!$B$3:$X$3,S$2,معالجة!$B$4:$X$4),""))</f>
        <v/>
      </c>
      <c r="T186" s="51" t="str">
        <f>IF(OR(T$2="",COUNT(الرصد!$C186:$Y186)=0),"",IFERROR(SUMIF(معالجة!$B$3:$X$3,T$2,الرصد!$C186:$Y186)/SUMIF(معالجة!$B$3:$X$3,T$2,معالجة!$B$4:$X$4),""))</f>
        <v/>
      </c>
      <c r="U186" s="51" t="str">
        <f>IF(OR(U$2="",COUNT(الرصد!$C186:$Y186)=0),"",IFERROR(SUMIF(معالجة!$B$3:$X$3,U$2,الرصد!$C186:$Y186)/SUMIF(معالجة!$B$3:$X$3,U$2,معالجة!$B$4:$X$4),""))</f>
        <v/>
      </c>
      <c r="V186" s="51" t="str">
        <f>IF(OR(V$2="",COUNT(الرصد!$C186:$Y186)=0),"",IFERROR(SUMIF(معالجة!$B$3:$X$3,V$2,الرصد!$C186:$Y186)/SUMIF(معالجة!$B$3:$X$3,V$2,معالجة!$B$4:$X$4),""))</f>
        <v/>
      </c>
      <c r="W186" s="51" t="str">
        <f>IFERROR(C186/المهارات!$G$27,"")</f>
        <v/>
      </c>
    </row>
    <row r="187" spans="1:23" ht="14.25" customHeight="1">
      <c r="A187" s="42" t="s">
        <v>256</v>
      </c>
      <c r="B187" s="42" t="s">
        <v>25</v>
      </c>
      <c r="C187" s="50" t="str">
        <f>IF(COUNT(الرصد!C187:Y187)=0,"",SUM(الرصد!C187:Y187))</f>
        <v/>
      </c>
      <c r="D187" s="51" t="str">
        <f>IF(OR(D$2="",COUNT(الرصد!$C187:$Y187)=0),"",IFERROR(SUMIF(معالجة!$B$3:$X$3,D$2,الرصد!$C187:$Y187)/SUMIF(معالجة!$B$3:$X$3,D$2,معالجة!$B$4:$X$4),""))</f>
        <v/>
      </c>
      <c r="E187" s="51" t="str">
        <f>IF(OR(E$2="",COUNT(الرصد!$C187:$Y187)=0),"",IFERROR(SUMIF(معالجة!$B$3:$X$3,E$2,الرصد!$C187:$Y187)/SUMIF(معالجة!$B$3:$X$3,E$2,معالجة!$B$4:$X$4),""))</f>
        <v/>
      </c>
      <c r="F187" s="51" t="str">
        <f>IF(OR(F$2="",COUNT(الرصد!$C187:$Y187)=0),"",IFERROR(SUMIF(معالجة!$B$3:$X$3,F$2,الرصد!$C187:$Y187)/SUMIF(معالجة!$B$3:$X$3,F$2,معالجة!$B$4:$X$4),""))</f>
        <v/>
      </c>
      <c r="G187" s="51" t="str">
        <f>IF(OR(G$2="",COUNT(الرصد!$C187:$Y187)=0),"",IFERROR(SUMIF(معالجة!$B$3:$X$3,G$2,الرصد!$C187:$Y187)/SUMIF(معالجة!$B$3:$X$3,G$2,معالجة!$B$4:$X$4),""))</f>
        <v/>
      </c>
      <c r="H187" s="51" t="str">
        <f>IF(OR(H$2="",COUNT(الرصد!$C187:$Y187)=0),"",IFERROR(SUMIF(معالجة!$B$3:$X$3,H$2,الرصد!$C187:$Y187)/SUMIF(معالجة!$B$3:$X$3,H$2,معالجة!$B$4:$X$4),""))</f>
        <v/>
      </c>
      <c r="I187" s="51" t="str">
        <f>IF(OR(I$2="",COUNT(الرصد!$C187:$Y187)=0),"",IFERROR(SUMIF(معالجة!$B$3:$X$3,I$2,الرصد!$C187:$Y187)/SUMIF(معالجة!$B$3:$X$3,I$2,معالجة!$B$4:$X$4),""))</f>
        <v/>
      </c>
      <c r="J187" s="51" t="str">
        <f>IF(OR(J$2="",COUNT(الرصد!$C187:$Y187)=0),"",IFERROR(SUMIF(معالجة!$B$3:$X$3,J$2,الرصد!$C187:$Y187)/SUMIF(معالجة!$B$3:$X$3,J$2,معالجة!$B$4:$X$4),""))</f>
        <v/>
      </c>
      <c r="K187" s="51" t="str">
        <f>IF(OR(K$2="",COUNT(الرصد!$C187:$Y187)=0),"",IFERROR(SUMIF(معالجة!$B$3:$X$3,K$2,الرصد!$C187:$Y187)/SUMIF(معالجة!$B$3:$X$3,K$2,معالجة!$B$4:$X$4),""))</f>
        <v/>
      </c>
      <c r="L187" s="51" t="str">
        <f>IF(OR(L$2="",COUNT(الرصد!$C187:$Y187)=0),"",IFERROR(SUMIF(معالجة!$B$3:$X$3,L$2,الرصد!$C187:$Y187)/SUMIF(معالجة!$B$3:$X$3,L$2,معالجة!$B$4:$X$4),""))</f>
        <v/>
      </c>
      <c r="M187" s="51" t="str">
        <f>IF(OR(M$2="",COUNT(الرصد!$C187:$Y187)=0),"",IFERROR(SUMIF(معالجة!$B$3:$X$3,M$2,الرصد!$C187:$Y187)/SUMIF(معالجة!$B$3:$X$3,M$2,معالجة!$B$4:$X$4),""))</f>
        <v/>
      </c>
      <c r="N187" s="51" t="str">
        <f>IF(OR(N$2="",COUNT(الرصد!$C187:$Y187)=0),"",IFERROR(SUMIF(معالجة!$B$3:$X$3,N$2,الرصد!$C187:$Y187)/SUMIF(معالجة!$B$3:$X$3,N$2,معالجة!$B$4:$X$4),""))</f>
        <v/>
      </c>
      <c r="O187" s="51" t="str">
        <f>IF(OR(O$2="",COUNT(الرصد!$C187:$Y187)=0),"",IFERROR(SUMIF(معالجة!$B$3:$X$3,O$2,الرصد!$C187:$Y187)/SUMIF(معالجة!$B$3:$X$3,O$2,معالجة!$B$4:$X$4),""))</f>
        <v/>
      </c>
      <c r="P187" s="51" t="str">
        <f>IF(OR(P$2="",COUNT(الرصد!$C187:$Y187)=0),"",IFERROR(SUMIF(معالجة!$B$3:$X$3,P$2,الرصد!$C187:$Y187)/SUMIF(معالجة!$B$3:$X$3,P$2,معالجة!$B$4:$X$4),""))</f>
        <v/>
      </c>
      <c r="Q187" s="51" t="str">
        <f>IF(OR(Q$2="",COUNT(الرصد!$C187:$Y187)=0),"",IFERROR(SUMIF(معالجة!$B$3:$X$3,Q$2,الرصد!$C187:$Y187)/SUMIF(معالجة!$B$3:$X$3,Q$2,معالجة!$B$4:$X$4),""))</f>
        <v/>
      </c>
      <c r="R187" s="51" t="str">
        <f>IF(OR(R$2="",COUNT(الرصد!$C187:$Y187)=0),"",IFERROR(SUMIF(معالجة!$B$3:$X$3,R$2,الرصد!$C187:$Y187)/SUMIF(معالجة!$B$3:$X$3,R$2,معالجة!$B$4:$X$4),""))</f>
        <v/>
      </c>
      <c r="S187" s="51" t="str">
        <f>IF(OR(S$2="",COUNT(الرصد!$C187:$Y187)=0),"",IFERROR(SUMIF(معالجة!$B$3:$X$3,S$2,الرصد!$C187:$Y187)/SUMIF(معالجة!$B$3:$X$3,S$2,معالجة!$B$4:$X$4),""))</f>
        <v/>
      </c>
      <c r="T187" s="51" t="str">
        <f>IF(OR(T$2="",COUNT(الرصد!$C187:$Y187)=0),"",IFERROR(SUMIF(معالجة!$B$3:$X$3,T$2,الرصد!$C187:$Y187)/SUMIF(معالجة!$B$3:$X$3,T$2,معالجة!$B$4:$X$4),""))</f>
        <v/>
      </c>
      <c r="U187" s="51" t="str">
        <f>IF(OR(U$2="",COUNT(الرصد!$C187:$Y187)=0),"",IFERROR(SUMIF(معالجة!$B$3:$X$3,U$2,الرصد!$C187:$Y187)/SUMIF(معالجة!$B$3:$X$3,U$2,معالجة!$B$4:$X$4),""))</f>
        <v/>
      </c>
      <c r="V187" s="51" t="str">
        <f>IF(OR(V$2="",COUNT(الرصد!$C187:$Y187)=0),"",IFERROR(SUMIF(معالجة!$B$3:$X$3,V$2,الرصد!$C187:$Y187)/SUMIF(معالجة!$B$3:$X$3,V$2,معالجة!$B$4:$X$4),""))</f>
        <v/>
      </c>
      <c r="W187" s="51" t="str">
        <f>IFERROR(C187/المهارات!$G$27,"")</f>
        <v/>
      </c>
    </row>
    <row r="188" spans="1:23" ht="14.25" customHeight="1">
      <c r="A188" s="46" t="s">
        <v>257</v>
      </c>
      <c r="B188" s="46" t="s">
        <v>25</v>
      </c>
      <c r="C188" s="52" t="str">
        <f>IF(COUNT(الرصد!C188:Y188)=0,"",SUM(الرصد!C188:Y188))</f>
        <v/>
      </c>
      <c r="D188" s="51" t="str">
        <f>IF(OR(D$2="",COUNT(الرصد!$C188:$Y188)=0),"",IFERROR(SUMIF(معالجة!$B$3:$X$3,D$2,الرصد!$C188:$Y188)/SUMIF(معالجة!$B$3:$X$3,D$2,معالجة!$B$4:$X$4),""))</f>
        <v/>
      </c>
      <c r="E188" s="51" t="str">
        <f>IF(OR(E$2="",COUNT(الرصد!$C188:$Y188)=0),"",IFERROR(SUMIF(معالجة!$B$3:$X$3,E$2,الرصد!$C188:$Y188)/SUMIF(معالجة!$B$3:$X$3,E$2,معالجة!$B$4:$X$4),""))</f>
        <v/>
      </c>
      <c r="F188" s="51" t="str">
        <f>IF(OR(F$2="",COUNT(الرصد!$C188:$Y188)=0),"",IFERROR(SUMIF(معالجة!$B$3:$X$3,F$2,الرصد!$C188:$Y188)/SUMIF(معالجة!$B$3:$X$3,F$2,معالجة!$B$4:$X$4),""))</f>
        <v/>
      </c>
      <c r="G188" s="51" t="str">
        <f>IF(OR(G$2="",COUNT(الرصد!$C188:$Y188)=0),"",IFERROR(SUMIF(معالجة!$B$3:$X$3,G$2,الرصد!$C188:$Y188)/SUMIF(معالجة!$B$3:$X$3,G$2,معالجة!$B$4:$X$4),""))</f>
        <v/>
      </c>
      <c r="H188" s="51" t="str">
        <f>IF(OR(H$2="",COUNT(الرصد!$C188:$Y188)=0),"",IFERROR(SUMIF(معالجة!$B$3:$X$3,H$2,الرصد!$C188:$Y188)/SUMIF(معالجة!$B$3:$X$3,H$2,معالجة!$B$4:$X$4),""))</f>
        <v/>
      </c>
      <c r="I188" s="51" t="str">
        <f>IF(OR(I$2="",COUNT(الرصد!$C188:$Y188)=0),"",IFERROR(SUMIF(معالجة!$B$3:$X$3,I$2,الرصد!$C188:$Y188)/SUMIF(معالجة!$B$3:$X$3,I$2,معالجة!$B$4:$X$4),""))</f>
        <v/>
      </c>
      <c r="J188" s="51" t="str">
        <f>IF(OR(J$2="",COUNT(الرصد!$C188:$Y188)=0),"",IFERROR(SUMIF(معالجة!$B$3:$X$3,J$2,الرصد!$C188:$Y188)/SUMIF(معالجة!$B$3:$X$3,J$2,معالجة!$B$4:$X$4),""))</f>
        <v/>
      </c>
      <c r="K188" s="51" t="str">
        <f>IF(OR(K$2="",COUNT(الرصد!$C188:$Y188)=0),"",IFERROR(SUMIF(معالجة!$B$3:$X$3,K$2,الرصد!$C188:$Y188)/SUMIF(معالجة!$B$3:$X$3,K$2,معالجة!$B$4:$X$4),""))</f>
        <v/>
      </c>
      <c r="L188" s="51" t="str">
        <f>IF(OR(L$2="",COUNT(الرصد!$C188:$Y188)=0),"",IFERROR(SUMIF(معالجة!$B$3:$X$3,L$2,الرصد!$C188:$Y188)/SUMIF(معالجة!$B$3:$X$3,L$2,معالجة!$B$4:$X$4),""))</f>
        <v/>
      </c>
      <c r="M188" s="51" t="str">
        <f>IF(OR(M$2="",COUNT(الرصد!$C188:$Y188)=0),"",IFERROR(SUMIF(معالجة!$B$3:$X$3,M$2,الرصد!$C188:$Y188)/SUMIF(معالجة!$B$3:$X$3,M$2,معالجة!$B$4:$X$4),""))</f>
        <v/>
      </c>
      <c r="N188" s="51" t="str">
        <f>IF(OR(N$2="",COUNT(الرصد!$C188:$Y188)=0),"",IFERROR(SUMIF(معالجة!$B$3:$X$3,N$2,الرصد!$C188:$Y188)/SUMIF(معالجة!$B$3:$X$3,N$2,معالجة!$B$4:$X$4),""))</f>
        <v/>
      </c>
      <c r="O188" s="51" t="str">
        <f>IF(OR(O$2="",COUNT(الرصد!$C188:$Y188)=0),"",IFERROR(SUMIF(معالجة!$B$3:$X$3,O$2,الرصد!$C188:$Y188)/SUMIF(معالجة!$B$3:$X$3,O$2,معالجة!$B$4:$X$4),""))</f>
        <v/>
      </c>
      <c r="P188" s="51" t="str">
        <f>IF(OR(P$2="",COUNT(الرصد!$C188:$Y188)=0),"",IFERROR(SUMIF(معالجة!$B$3:$X$3,P$2,الرصد!$C188:$Y188)/SUMIF(معالجة!$B$3:$X$3,P$2,معالجة!$B$4:$X$4),""))</f>
        <v/>
      </c>
      <c r="Q188" s="51" t="str">
        <f>IF(OR(Q$2="",COUNT(الرصد!$C188:$Y188)=0),"",IFERROR(SUMIF(معالجة!$B$3:$X$3,Q$2,الرصد!$C188:$Y188)/SUMIF(معالجة!$B$3:$X$3,Q$2,معالجة!$B$4:$X$4),""))</f>
        <v/>
      </c>
      <c r="R188" s="51" t="str">
        <f>IF(OR(R$2="",COUNT(الرصد!$C188:$Y188)=0),"",IFERROR(SUMIF(معالجة!$B$3:$X$3,R$2,الرصد!$C188:$Y188)/SUMIF(معالجة!$B$3:$X$3,R$2,معالجة!$B$4:$X$4),""))</f>
        <v/>
      </c>
      <c r="S188" s="51" t="str">
        <f>IF(OR(S$2="",COUNT(الرصد!$C188:$Y188)=0),"",IFERROR(SUMIF(معالجة!$B$3:$X$3,S$2,الرصد!$C188:$Y188)/SUMIF(معالجة!$B$3:$X$3,S$2,معالجة!$B$4:$X$4),""))</f>
        <v/>
      </c>
      <c r="T188" s="51" t="str">
        <f>IF(OR(T$2="",COUNT(الرصد!$C188:$Y188)=0),"",IFERROR(SUMIF(معالجة!$B$3:$X$3,T$2,الرصد!$C188:$Y188)/SUMIF(معالجة!$B$3:$X$3,T$2,معالجة!$B$4:$X$4),""))</f>
        <v/>
      </c>
      <c r="U188" s="51" t="str">
        <f>IF(OR(U$2="",COUNT(الرصد!$C188:$Y188)=0),"",IFERROR(SUMIF(معالجة!$B$3:$X$3,U$2,الرصد!$C188:$Y188)/SUMIF(معالجة!$B$3:$X$3,U$2,معالجة!$B$4:$X$4),""))</f>
        <v/>
      </c>
      <c r="V188" s="51" t="str">
        <f>IF(OR(V$2="",COUNT(الرصد!$C188:$Y188)=0),"",IFERROR(SUMIF(معالجة!$B$3:$X$3,V$2,الرصد!$C188:$Y188)/SUMIF(معالجة!$B$3:$X$3,V$2,معالجة!$B$4:$X$4),""))</f>
        <v/>
      </c>
      <c r="W188" s="51" t="str">
        <f>IFERROR(C188/المهارات!$G$27,"")</f>
        <v/>
      </c>
    </row>
    <row r="189" spans="1:23" ht="14.25" customHeight="1">
      <c r="A189" s="42" t="s">
        <v>258</v>
      </c>
      <c r="B189" s="42" t="s">
        <v>25</v>
      </c>
      <c r="C189" s="50" t="str">
        <f>IF(COUNT(الرصد!C189:Y189)=0,"",SUM(الرصد!C189:Y189))</f>
        <v/>
      </c>
      <c r="D189" s="51" t="str">
        <f>IF(OR(D$2="",COUNT(الرصد!$C189:$Y189)=0),"",IFERROR(SUMIF(معالجة!$B$3:$X$3,D$2,الرصد!$C189:$Y189)/SUMIF(معالجة!$B$3:$X$3,D$2,معالجة!$B$4:$X$4),""))</f>
        <v/>
      </c>
      <c r="E189" s="51" t="str">
        <f>IF(OR(E$2="",COUNT(الرصد!$C189:$Y189)=0),"",IFERROR(SUMIF(معالجة!$B$3:$X$3,E$2,الرصد!$C189:$Y189)/SUMIF(معالجة!$B$3:$X$3,E$2,معالجة!$B$4:$X$4),""))</f>
        <v/>
      </c>
      <c r="F189" s="51" t="str">
        <f>IF(OR(F$2="",COUNT(الرصد!$C189:$Y189)=0),"",IFERROR(SUMIF(معالجة!$B$3:$X$3,F$2,الرصد!$C189:$Y189)/SUMIF(معالجة!$B$3:$X$3,F$2,معالجة!$B$4:$X$4),""))</f>
        <v/>
      </c>
      <c r="G189" s="51" t="str">
        <f>IF(OR(G$2="",COUNT(الرصد!$C189:$Y189)=0),"",IFERROR(SUMIF(معالجة!$B$3:$X$3,G$2,الرصد!$C189:$Y189)/SUMIF(معالجة!$B$3:$X$3,G$2,معالجة!$B$4:$X$4),""))</f>
        <v/>
      </c>
      <c r="H189" s="51" t="str">
        <f>IF(OR(H$2="",COUNT(الرصد!$C189:$Y189)=0),"",IFERROR(SUMIF(معالجة!$B$3:$X$3,H$2,الرصد!$C189:$Y189)/SUMIF(معالجة!$B$3:$X$3,H$2,معالجة!$B$4:$X$4),""))</f>
        <v/>
      </c>
      <c r="I189" s="51" t="str">
        <f>IF(OR(I$2="",COUNT(الرصد!$C189:$Y189)=0),"",IFERROR(SUMIF(معالجة!$B$3:$X$3,I$2,الرصد!$C189:$Y189)/SUMIF(معالجة!$B$3:$X$3,I$2,معالجة!$B$4:$X$4),""))</f>
        <v/>
      </c>
      <c r="J189" s="51" t="str">
        <f>IF(OR(J$2="",COUNT(الرصد!$C189:$Y189)=0),"",IFERROR(SUMIF(معالجة!$B$3:$X$3,J$2,الرصد!$C189:$Y189)/SUMIF(معالجة!$B$3:$X$3,J$2,معالجة!$B$4:$X$4),""))</f>
        <v/>
      </c>
      <c r="K189" s="51" t="str">
        <f>IF(OR(K$2="",COUNT(الرصد!$C189:$Y189)=0),"",IFERROR(SUMIF(معالجة!$B$3:$X$3,K$2,الرصد!$C189:$Y189)/SUMIF(معالجة!$B$3:$X$3,K$2,معالجة!$B$4:$X$4),""))</f>
        <v/>
      </c>
      <c r="L189" s="51" t="str">
        <f>IF(OR(L$2="",COUNT(الرصد!$C189:$Y189)=0),"",IFERROR(SUMIF(معالجة!$B$3:$X$3,L$2,الرصد!$C189:$Y189)/SUMIF(معالجة!$B$3:$X$3,L$2,معالجة!$B$4:$X$4),""))</f>
        <v/>
      </c>
      <c r="M189" s="51" t="str">
        <f>IF(OR(M$2="",COUNT(الرصد!$C189:$Y189)=0),"",IFERROR(SUMIF(معالجة!$B$3:$X$3,M$2,الرصد!$C189:$Y189)/SUMIF(معالجة!$B$3:$X$3,M$2,معالجة!$B$4:$X$4),""))</f>
        <v/>
      </c>
      <c r="N189" s="51" t="str">
        <f>IF(OR(N$2="",COUNT(الرصد!$C189:$Y189)=0),"",IFERROR(SUMIF(معالجة!$B$3:$X$3,N$2,الرصد!$C189:$Y189)/SUMIF(معالجة!$B$3:$X$3,N$2,معالجة!$B$4:$X$4),""))</f>
        <v/>
      </c>
      <c r="O189" s="51" t="str">
        <f>IF(OR(O$2="",COUNT(الرصد!$C189:$Y189)=0),"",IFERROR(SUMIF(معالجة!$B$3:$X$3,O$2,الرصد!$C189:$Y189)/SUMIF(معالجة!$B$3:$X$3,O$2,معالجة!$B$4:$X$4),""))</f>
        <v/>
      </c>
      <c r="P189" s="51" t="str">
        <f>IF(OR(P$2="",COUNT(الرصد!$C189:$Y189)=0),"",IFERROR(SUMIF(معالجة!$B$3:$X$3,P$2,الرصد!$C189:$Y189)/SUMIF(معالجة!$B$3:$X$3,P$2,معالجة!$B$4:$X$4),""))</f>
        <v/>
      </c>
      <c r="Q189" s="51" t="str">
        <f>IF(OR(Q$2="",COUNT(الرصد!$C189:$Y189)=0),"",IFERROR(SUMIF(معالجة!$B$3:$X$3,Q$2,الرصد!$C189:$Y189)/SUMIF(معالجة!$B$3:$X$3,Q$2,معالجة!$B$4:$X$4),""))</f>
        <v/>
      </c>
      <c r="R189" s="51" t="str">
        <f>IF(OR(R$2="",COUNT(الرصد!$C189:$Y189)=0),"",IFERROR(SUMIF(معالجة!$B$3:$X$3,R$2,الرصد!$C189:$Y189)/SUMIF(معالجة!$B$3:$X$3,R$2,معالجة!$B$4:$X$4),""))</f>
        <v/>
      </c>
      <c r="S189" s="51" t="str">
        <f>IF(OR(S$2="",COUNT(الرصد!$C189:$Y189)=0),"",IFERROR(SUMIF(معالجة!$B$3:$X$3,S$2,الرصد!$C189:$Y189)/SUMIF(معالجة!$B$3:$X$3,S$2,معالجة!$B$4:$X$4),""))</f>
        <v/>
      </c>
      <c r="T189" s="51" t="str">
        <f>IF(OR(T$2="",COUNT(الرصد!$C189:$Y189)=0),"",IFERROR(SUMIF(معالجة!$B$3:$X$3,T$2,الرصد!$C189:$Y189)/SUMIF(معالجة!$B$3:$X$3,T$2,معالجة!$B$4:$X$4),""))</f>
        <v/>
      </c>
      <c r="U189" s="51" t="str">
        <f>IF(OR(U$2="",COUNT(الرصد!$C189:$Y189)=0),"",IFERROR(SUMIF(معالجة!$B$3:$X$3,U$2,الرصد!$C189:$Y189)/SUMIF(معالجة!$B$3:$X$3,U$2,معالجة!$B$4:$X$4),""))</f>
        <v/>
      </c>
      <c r="V189" s="51" t="str">
        <f>IF(OR(V$2="",COUNT(الرصد!$C189:$Y189)=0),"",IFERROR(SUMIF(معالجة!$B$3:$X$3,V$2,الرصد!$C189:$Y189)/SUMIF(معالجة!$B$3:$X$3,V$2,معالجة!$B$4:$X$4),""))</f>
        <v/>
      </c>
      <c r="W189" s="51" t="str">
        <f>IFERROR(C189/المهارات!$G$27,"")</f>
        <v/>
      </c>
    </row>
    <row r="190" spans="1:23" ht="14.25" customHeight="1">
      <c r="A190" s="46" t="s">
        <v>259</v>
      </c>
      <c r="B190" s="46" t="s">
        <v>25</v>
      </c>
      <c r="C190" s="52" t="str">
        <f>IF(COUNT(الرصد!C190:Y190)=0,"",SUM(الرصد!C190:Y190))</f>
        <v/>
      </c>
      <c r="D190" s="51" t="str">
        <f>IF(OR(D$2="",COUNT(الرصد!$C190:$Y190)=0),"",IFERROR(SUMIF(معالجة!$B$3:$X$3,D$2,الرصد!$C190:$Y190)/SUMIF(معالجة!$B$3:$X$3,D$2,معالجة!$B$4:$X$4),""))</f>
        <v/>
      </c>
      <c r="E190" s="51" t="str">
        <f>IF(OR(E$2="",COUNT(الرصد!$C190:$Y190)=0),"",IFERROR(SUMIF(معالجة!$B$3:$X$3,E$2,الرصد!$C190:$Y190)/SUMIF(معالجة!$B$3:$X$3,E$2,معالجة!$B$4:$X$4),""))</f>
        <v/>
      </c>
      <c r="F190" s="51" t="str">
        <f>IF(OR(F$2="",COUNT(الرصد!$C190:$Y190)=0),"",IFERROR(SUMIF(معالجة!$B$3:$X$3,F$2,الرصد!$C190:$Y190)/SUMIF(معالجة!$B$3:$X$3,F$2,معالجة!$B$4:$X$4),""))</f>
        <v/>
      </c>
      <c r="G190" s="51" t="str">
        <f>IF(OR(G$2="",COUNT(الرصد!$C190:$Y190)=0),"",IFERROR(SUMIF(معالجة!$B$3:$X$3,G$2,الرصد!$C190:$Y190)/SUMIF(معالجة!$B$3:$X$3,G$2,معالجة!$B$4:$X$4),""))</f>
        <v/>
      </c>
      <c r="H190" s="51" t="str">
        <f>IF(OR(H$2="",COUNT(الرصد!$C190:$Y190)=0),"",IFERROR(SUMIF(معالجة!$B$3:$X$3,H$2,الرصد!$C190:$Y190)/SUMIF(معالجة!$B$3:$X$3,H$2,معالجة!$B$4:$X$4),""))</f>
        <v/>
      </c>
      <c r="I190" s="51" t="str">
        <f>IF(OR(I$2="",COUNT(الرصد!$C190:$Y190)=0),"",IFERROR(SUMIF(معالجة!$B$3:$X$3,I$2,الرصد!$C190:$Y190)/SUMIF(معالجة!$B$3:$X$3,I$2,معالجة!$B$4:$X$4),""))</f>
        <v/>
      </c>
      <c r="J190" s="51" t="str">
        <f>IF(OR(J$2="",COUNT(الرصد!$C190:$Y190)=0),"",IFERROR(SUMIF(معالجة!$B$3:$X$3,J$2,الرصد!$C190:$Y190)/SUMIF(معالجة!$B$3:$X$3,J$2,معالجة!$B$4:$X$4),""))</f>
        <v/>
      </c>
      <c r="K190" s="51" t="str">
        <f>IF(OR(K$2="",COUNT(الرصد!$C190:$Y190)=0),"",IFERROR(SUMIF(معالجة!$B$3:$X$3,K$2,الرصد!$C190:$Y190)/SUMIF(معالجة!$B$3:$X$3,K$2,معالجة!$B$4:$X$4),""))</f>
        <v/>
      </c>
      <c r="L190" s="51" t="str">
        <f>IF(OR(L$2="",COUNT(الرصد!$C190:$Y190)=0),"",IFERROR(SUMIF(معالجة!$B$3:$X$3,L$2,الرصد!$C190:$Y190)/SUMIF(معالجة!$B$3:$X$3,L$2,معالجة!$B$4:$X$4),""))</f>
        <v/>
      </c>
      <c r="M190" s="51" t="str">
        <f>IF(OR(M$2="",COUNT(الرصد!$C190:$Y190)=0),"",IFERROR(SUMIF(معالجة!$B$3:$X$3,M$2,الرصد!$C190:$Y190)/SUMIF(معالجة!$B$3:$X$3,M$2,معالجة!$B$4:$X$4),""))</f>
        <v/>
      </c>
      <c r="N190" s="51" t="str">
        <f>IF(OR(N$2="",COUNT(الرصد!$C190:$Y190)=0),"",IFERROR(SUMIF(معالجة!$B$3:$X$3,N$2,الرصد!$C190:$Y190)/SUMIF(معالجة!$B$3:$X$3,N$2,معالجة!$B$4:$X$4),""))</f>
        <v/>
      </c>
      <c r="O190" s="51" t="str">
        <f>IF(OR(O$2="",COUNT(الرصد!$C190:$Y190)=0),"",IFERROR(SUMIF(معالجة!$B$3:$X$3,O$2,الرصد!$C190:$Y190)/SUMIF(معالجة!$B$3:$X$3,O$2,معالجة!$B$4:$X$4),""))</f>
        <v/>
      </c>
      <c r="P190" s="51" t="str">
        <f>IF(OR(P$2="",COUNT(الرصد!$C190:$Y190)=0),"",IFERROR(SUMIF(معالجة!$B$3:$X$3,P$2,الرصد!$C190:$Y190)/SUMIF(معالجة!$B$3:$X$3,P$2,معالجة!$B$4:$X$4),""))</f>
        <v/>
      </c>
      <c r="Q190" s="51" t="str">
        <f>IF(OR(Q$2="",COUNT(الرصد!$C190:$Y190)=0),"",IFERROR(SUMIF(معالجة!$B$3:$X$3,Q$2,الرصد!$C190:$Y190)/SUMIF(معالجة!$B$3:$X$3,Q$2,معالجة!$B$4:$X$4),""))</f>
        <v/>
      </c>
      <c r="R190" s="51" t="str">
        <f>IF(OR(R$2="",COUNT(الرصد!$C190:$Y190)=0),"",IFERROR(SUMIF(معالجة!$B$3:$X$3,R$2,الرصد!$C190:$Y190)/SUMIF(معالجة!$B$3:$X$3,R$2,معالجة!$B$4:$X$4),""))</f>
        <v/>
      </c>
      <c r="S190" s="51" t="str">
        <f>IF(OR(S$2="",COUNT(الرصد!$C190:$Y190)=0),"",IFERROR(SUMIF(معالجة!$B$3:$X$3,S$2,الرصد!$C190:$Y190)/SUMIF(معالجة!$B$3:$X$3,S$2,معالجة!$B$4:$X$4),""))</f>
        <v/>
      </c>
      <c r="T190" s="51" t="str">
        <f>IF(OR(T$2="",COUNT(الرصد!$C190:$Y190)=0),"",IFERROR(SUMIF(معالجة!$B$3:$X$3,T$2,الرصد!$C190:$Y190)/SUMIF(معالجة!$B$3:$X$3,T$2,معالجة!$B$4:$X$4),""))</f>
        <v/>
      </c>
      <c r="U190" s="51" t="str">
        <f>IF(OR(U$2="",COUNT(الرصد!$C190:$Y190)=0),"",IFERROR(SUMIF(معالجة!$B$3:$X$3,U$2,الرصد!$C190:$Y190)/SUMIF(معالجة!$B$3:$X$3,U$2,معالجة!$B$4:$X$4),""))</f>
        <v/>
      </c>
      <c r="V190" s="51" t="str">
        <f>IF(OR(V$2="",COUNT(الرصد!$C190:$Y190)=0),"",IFERROR(SUMIF(معالجة!$B$3:$X$3,V$2,الرصد!$C190:$Y190)/SUMIF(معالجة!$B$3:$X$3,V$2,معالجة!$B$4:$X$4),""))</f>
        <v/>
      </c>
      <c r="W190" s="51" t="str">
        <f>IFERROR(C190/المهارات!$G$27,"")</f>
        <v/>
      </c>
    </row>
    <row r="191" spans="1:23" ht="14.25" customHeight="1">
      <c r="A191" s="42" t="s">
        <v>260</v>
      </c>
      <c r="B191" s="42" t="s">
        <v>25</v>
      </c>
      <c r="C191" s="50" t="str">
        <f>IF(COUNT(الرصد!C191:Y191)=0,"",SUM(الرصد!C191:Y191))</f>
        <v/>
      </c>
      <c r="D191" s="51" t="str">
        <f>IF(OR(D$2="",COUNT(الرصد!$C191:$Y191)=0),"",IFERROR(SUMIF(معالجة!$B$3:$X$3,D$2,الرصد!$C191:$Y191)/SUMIF(معالجة!$B$3:$X$3,D$2,معالجة!$B$4:$X$4),""))</f>
        <v/>
      </c>
      <c r="E191" s="51" t="str">
        <f>IF(OR(E$2="",COUNT(الرصد!$C191:$Y191)=0),"",IFERROR(SUMIF(معالجة!$B$3:$X$3,E$2,الرصد!$C191:$Y191)/SUMIF(معالجة!$B$3:$X$3,E$2,معالجة!$B$4:$X$4),""))</f>
        <v/>
      </c>
      <c r="F191" s="51" t="str">
        <f>IF(OR(F$2="",COUNT(الرصد!$C191:$Y191)=0),"",IFERROR(SUMIF(معالجة!$B$3:$X$3,F$2,الرصد!$C191:$Y191)/SUMIF(معالجة!$B$3:$X$3,F$2,معالجة!$B$4:$X$4),""))</f>
        <v/>
      </c>
      <c r="G191" s="51" t="str">
        <f>IF(OR(G$2="",COUNT(الرصد!$C191:$Y191)=0),"",IFERROR(SUMIF(معالجة!$B$3:$X$3,G$2,الرصد!$C191:$Y191)/SUMIF(معالجة!$B$3:$X$3,G$2,معالجة!$B$4:$X$4),""))</f>
        <v/>
      </c>
      <c r="H191" s="51" t="str">
        <f>IF(OR(H$2="",COUNT(الرصد!$C191:$Y191)=0),"",IFERROR(SUMIF(معالجة!$B$3:$X$3,H$2,الرصد!$C191:$Y191)/SUMIF(معالجة!$B$3:$X$3,H$2,معالجة!$B$4:$X$4),""))</f>
        <v/>
      </c>
      <c r="I191" s="51" t="str">
        <f>IF(OR(I$2="",COUNT(الرصد!$C191:$Y191)=0),"",IFERROR(SUMIF(معالجة!$B$3:$X$3,I$2,الرصد!$C191:$Y191)/SUMIF(معالجة!$B$3:$X$3,I$2,معالجة!$B$4:$X$4),""))</f>
        <v/>
      </c>
      <c r="J191" s="51" t="str">
        <f>IF(OR(J$2="",COUNT(الرصد!$C191:$Y191)=0),"",IFERROR(SUMIF(معالجة!$B$3:$X$3,J$2,الرصد!$C191:$Y191)/SUMIF(معالجة!$B$3:$X$3,J$2,معالجة!$B$4:$X$4),""))</f>
        <v/>
      </c>
      <c r="K191" s="51" t="str">
        <f>IF(OR(K$2="",COUNT(الرصد!$C191:$Y191)=0),"",IFERROR(SUMIF(معالجة!$B$3:$X$3,K$2,الرصد!$C191:$Y191)/SUMIF(معالجة!$B$3:$X$3,K$2,معالجة!$B$4:$X$4),""))</f>
        <v/>
      </c>
      <c r="L191" s="51" t="str">
        <f>IF(OR(L$2="",COUNT(الرصد!$C191:$Y191)=0),"",IFERROR(SUMIF(معالجة!$B$3:$X$3,L$2,الرصد!$C191:$Y191)/SUMIF(معالجة!$B$3:$X$3,L$2,معالجة!$B$4:$X$4),""))</f>
        <v/>
      </c>
      <c r="M191" s="51" t="str">
        <f>IF(OR(M$2="",COUNT(الرصد!$C191:$Y191)=0),"",IFERROR(SUMIF(معالجة!$B$3:$X$3,M$2,الرصد!$C191:$Y191)/SUMIF(معالجة!$B$3:$X$3,M$2,معالجة!$B$4:$X$4),""))</f>
        <v/>
      </c>
      <c r="N191" s="51" t="str">
        <f>IF(OR(N$2="",COUNT(الرصد!$C191:$Y191)=0),"",IFERROR(SUMIF(معالجة!$B$3:$X$3,N$2,الرصد!$C191:$Y191)/SUMIF(معالجة!$B$3:$X$3,N$2,معالجة!$B$4:$X$4),""))</f>
        <v/>
      </c>
      <c r="O191" s="51" t="str">
        <f>IF(OR(O$2="",COUNT(الرصد!$C191:$Y191)=0),"",IFERROR(SUMIF(معالجة!$B$3:$X$3,O$2,الرصد!$C191:$Y191)/SUMIF(معالجة!$B$3:$X$3,O$2,معالجة!$B$4:$X$4),""))</f>
        <v/>
      </c>
      <c r="P191" s="51" t="str">
        <f>IF(OR(P$2="",COUNT(الرصد!$C191:$Y191)=0),"",IFERROR(SUMIF(معالجة!$B$3:$X$3,P$2,الرصد!$C191:$Y191)/SUMIF(معالجة!$B$3:$X$3,P$2,معالجة!$B$4:$X$4),""))</f>
        <v/>
      </c>
      <c r="Q191" s="51" t="str">
        <f>IF(OR(Q$2="",COUNT(الرصد!$C191:$Y191)=0),"",IFERROR(SUMIF(معالجة!$B$3:$X$3,Q$2,الرصد!$C191:$Y191)/SUMIF(معالجة!$B$3:$X$3,Q$2,معالجة!$B$4:$X$4),""))</f>
        <v/>
      </c>
      <c r="R191" s="51" t="str">
        <f>IF(OR(R$2="",COUNT(الرصد!$C191:$Y191)=0),"",IFERROR(SUMIF(معالجة!$B$3:$X$3,R$2,الرصد!$C191:$Y191)/SUMIF(معالجة!$B$3:$X$3,R$2,معالجة!$B$4:$X$4),""))</f>
        <v/>
      </c>
      <c r="S191" s="51" t="str">
        <f>IF(OR(S$2="",COUNT(الرصد!$C191:$Y191)=0),"",IFERROR(SUMIF(معالجة!$B$3:$X$3,S$2,الرصد!$C191:$Y191)/SUMIF(معالجة!$B$3:$X$3,S$2,معالجة!$B$4:$X$4),""))</f>
        <v/>
      </c>
      <c r="T191" s="51" t="str">
        <f>IF(OR(T$2="",COUNT(الرصد!$C191:$Y191)=0),"",IFERROR(SUMIF(معالجة!$B$3:$X$3,T$2,الرصد!$C191:$Y191)/SUMIF(معالجة!$B$3:$X$3,T$2,معالجة!$B$4:$X$4),""))</f>
        <v/>
      </c>
      <c r="U191" s="51" t="str">
        <f>IF(OR(U$2="",COUNT(الرصد!$C191:$Y191)=0),"",IFERROR(SUMIF(معالجة!$B$3:$X$3,U$2,الرصد!$C191:$Y191)/SUMIF(معالجة!$B$3:$X$3,U$2,معالجة!$B$4:$X$4),""))</f>
        <v/>
      </c>
      <c r="V191" s="51" t="str">
        <f>IF(OR(V$2="",COUNT(الرصد!$C191:$Y191)=0),"",IFERROR(SUMIF(معالجة!$B$3:$X$3,V$2,الرصد!$C191:$Y191)/SUMIF(معالجة!$B$3:$X$3,V$2,معالجة!$B$4:$X$4),""))</f>
        <v/>
      </c>
      <c r="W191" s="51" t="str">
        <f>IFERROR(C191/المهارات!$G$27,"")</f>
        <v/>
      </c>
    </row>
    <row r="192" spans="1:23" ht="14.25" customHeight="1">
      <c r="A192" s="46" t="s">
        <v>261</v>
      </c>
      <c r="B192" s="46" t="s">
        <v>25</v>
      </c>
      <c r="C192" s="52" t="str">
        <f>IF(COUNT(الرصد!C192:Y192)=0,"",SUM(الرصد!C192:Y192))</f>
        <v/>
      </c>
      <c r="D192" s="51" t="str">
        <f>IF(OR(D$2="",COUNT(الرصد!$C192:$Y192)=0),"",IFERROR(SUMIF(معالجة!$B$3:$X$3,D$2,الرصد!$C192:$Y192)/SUMIF(معالجة!$B$3:$X$3,D$2,معالجة!$B$4:$X$4),""))</f>
        <v/>
      </c>
      <c r="E192" s="51" t="str">
        <f>IF(OR(E$2="",COUNT(الرصد!$C192:$Y192)=0),"",IFERROR(SUMIF(معالجة!$B$3:$X$3,E$2,الرصد!$C192:$Y192)/SUMIF(معالجة!$B$3:$X$3,E$2,معالجة!$B$4:$X$4),""))</f>
        <v/>
      </c>
      <c r="F192" s="51" t="str">
        <f>IF(OR(F$2="",COUNT(الرصد!$C192:$Y192)=0),"",IFERROR(SUMIF(معالجة!$B$3:$X$3,F$2,الرصد!$C192:$Y192)/SUMIF(معالجة!$B$3:$X$3,F$2,معالجة!$B$4:$X$4),""))</f>
        <v/>
      </c>
      <c r="G192" s="51" t="str">
        <f>IF(OR(G$2="",COUNT(الرصد!$C192:$Y192)=0),"",IFERROR(SUMIF(معالجة!$B$3:$X$3,G$2,الرصد!$C192:$Y192)/SUMIF(معالجة!$B$3:$X$3,G$2,معالجة!$B$4:$X$4),""))</f>
        <v/>
      </c>
      <c r="H192" s="51" t="str">
        <f>IF(OR(H$2="",COUNT(الرصد!$C192:$Y192)=0),"",IFERROR(SUMIF(معالجة!$B$3:$X$3,H$2,الرصد!$C192:$Y192)/SUMIF(معالجة!$B$3:$X$3,H$2,معالجة!$B$4:$X$4),""))</f>
        <v/>
      </c>
      <c r="I192" s="51" t="str">
        <f>IF(OR(I$2="",COUNT(الرصد!$C192:$Y192)=0),"",IFERROR(SUMIF(معالجة!$B$3:$X$3,I$2,الرصد!$C192:$Y192)/SUMIF(معالجة!$B$3:$X$3,I$2,معالجة!$B$4:$X$4),""))</f>
        <v/>
      </c>
      <c r="J192" s="51" t="str">
        <f>IF(OR(J$2="",COUNT(الرصد!$C192:$Y192)=0),"",IFERROR(SUMIF(معالجة!$B$3:$X$3,J$2,الرصد!$C192:$Y192)/SUMIF(معالجة!$B$3:$X$3,J$2,معالجة!$B$4:$X$4),""))</f>
        <v/>
      </c>
      <c r="K192" s="51" t="str">
        <f>IF(OR(K$2="",COUNT(الرصد!$C192:$Y192)=0),"",IFERROR(SUMIF(معالجة!$B$3:$X$3,K$2,الرصد!$C192:$Y192)/SUMIF(معالجة!$B$3:$X$3,K$2,معالجة!$B$4:$X$4),""))</f>
        <v/>
      </c>
      <c r="L192" s="51" t="str">
        <f>IF(OR(L$2="",COUNT(الرصد!$C192:$Y192)=0),"",IFERROR(SUMIF(معالجة!$B$3:$X$3,L$2,الرصد!$C192:$Y192)/SUMIF(معالجة!$B$3:$X$3,L$2,معالجة!$B$4:$X$4),""))</f>
        <v/>
      </c>
      <c r="M192" s="51" t="str">
        <f>IF(OR(M$2="",COUNT(الرصد!$C192:$Y192)=0),"",IFERROR(SUMIF(معالجة!$B$3:$X$3,M$2,الرصد!$C192:$Y192)/SUMIF(معالجة!$B$3:$X$3,M$2,معالجة!$B$4:$X$4),""))</f>
        <v/>
      </c>
      <c r="N192" s="51" t="str">
        <f>IF(OR(N$2="",COUNT(الرصد!$C192:$Y192)=0),"",IFERROR(SUMIF(معالجة!$B$3:$X$3,N$2,الرصد!$C192:$Y192)/SUMIF(معالجة!$B$3:$X$3,N$2,معالجة!$B$4:$X$4),""))</f>
        <v/>
      </c>
      <c r="O192" s="51" t="str">
        <f>IF(OR(O$2="",COUNT(الرصد!$C192:$Y192)=0),"",IFERROR(SUMIF(معالجة!$B$3:$X$3,O$2,الرصد!$C192:$Y192)/SUMIF(معالجة!$B$3:$X$3,O$2,معالجة!$B$4:$X$4),""))</f>
        <v/>
      </c>
      <c r="P192" s="51" t="str">
        <f>IF(OR(P$2="",COUNT(الرصد!$C192:$Y192)=0),"",IFERROR(SUMIF(معالجة!$B$3:$X$3,P$2,الرصد!$C192:$Y192)/SUMIF(معالجة!$B$3:$X$3,P$2,معالجة!$B$4:$X$4),""))</f>
        <v/>
      </c>
      <c r="Q192" s="51" t="str">
        <f>IF(OR(Q$2="",COUNT(الرصد!$C192:$Y192)=0),"",IFERROR(SUMIF(معالجة!$B$3:$X$3,Q$2,الرصد!$C192:$Y192)/SUMIF(معالجة!$B$3:$X$3,Q$2,معالجة!$B$4:$X$4),""))</f>
        <v/>
      </c>
      <c r="R192" s="51" t="str">
        <f>IF(OR(R$2="",COUNT(الرصد!$C192:$Y192)=0),"",IFERROR(SUMIF(معالجة!$B$3:$X$3,R$2,الرصد!$C192:$Y192)/SUMIF(معالجة!$B$3:$X$3,R$2,معالجة!$B$4:$X$4),""))</f>
        <v/>
      </c>
      <c r="S192" s="51" t="str">
        <f>IF(OR(S$2="",COUNT(الرصد!$C192:$Y192)=0),"",IFERROR(SUMIF(معالجة!$B$3:$X$3,S$2,الرصد!$C192:$Y192)/SUMIF(معالجة!$B$3:$X$3,S$2,معالجة!$B$4:$X$4),""))</f>
        <v/>
      </c>
      <c r="T192" s="51" t="str">
        <f>IF(OR(T$2="",COUNT(الرصد!$C192:$Y192)=0),"",IFERROR(SUMIF(معالجة!$B$3:$X$3,T$2,الرصد!$C192:$Y192)/SUMIF(معالجة!$B$3:$X$3,T$2,معالجة!$B$4:$X$4),""))</f>
        <v/>
      </c>
      <c r="U192" s="51" t="str">
        <f>IF(OR(U$2="",COUNT(الرصد!$C192:$Y192)=0),"",IFERROR(SUMIF(معالجة!$B$3:$X$3,U$2,الرصد!$C192:$Y192)/SUMIF(معالجة!$B$3:$X$3,U$2,معالجة!$B$4:$X$4),""))</f>
        <v/>
      </c>
      <c r="V192" s="51" t="str">
        <f>IF(OR(V$2="",COUNT(الرصد!$C192:$Y192)=0),"",IFERROR(SUMIF(معالجة!$B$3:$X$3,V$2,الرصد!$C192:$Y192)/SUMIF(معالجة!$B$3:$X$3,V$2,معالجة!$B$4:$X$4),""))</f>
        <v/>
      </c>
      <c r="W192" s="51" t="str">
        <f>IFERROR(C192/المهارات!$G$27,"")</f>
        <v/>
      </c>
    </row>
    <row r="193" spans="1:23" ht="14.25" customHeight="1">
      <c r="A193" s="42" t="s">
        <v>262</v>
      </c>
      <c r="B193" s="42" t="s">
        <v>25</v>
      </c>
      <c r="C193" s="50" t="str">
        <f>IF(COUNT(الرصد!C193:Y193)=0,"",SUM(الرصد!C193:Y193))</f>
        <v/>
      </c>
      <c r="D193" s="51" t="str">
        <f>IF(OR(D$2="",COUNT(الرصد!$C193:$Y193)=0),"",IFERROR(SUMIF(معالجة!$B$3:$X$3,D$2,الرصد!$C193:$Y193)/SUMIF(معالجة!$B$3:$X$3,D$2,معالجة!$B$4:$X$4),""))</f>
        <v/>
      </c>
      <c r="E193" s="51" t="str">
        <f>IF(OR(E$2="",COUNT(الرصد!$C193:$Y193)=0),"",IFERROR(SUMIF(معالجة!$B$3:$X$3,E$2,الرصد!$C193:$Y193)/SUMIF(معالجة!$B$3:$X$3,E$2,معالجة!$B$4:$X$4),""))</f>
        <v/>
      </c>
      <c r="F193" s="51" t="str">
        <f>IF(OR(F$2="",COUNT(الرصد!$C193:$Y193)=0),"",IFERROR(SUMIF(معالجة!$B$3:$X$3,F$2,الرصد!$C193:$Y193)/SUMIF(معالجة!$B$3:$X$3,F$2,معالجة!$B$4:$X$4),""))</f>
        <v/>
      </c>
      <c r="G193" s="51" t="str">
        <f>IF(OR(G$2="",COUNT(الرصد!$C193:$Y193)=0),"",IFERROR(SUMIF(معالجة!$B$3:$X$3,G$2,الرصد!$C193:$Y193)/SUMIF(معالجة!$B$3:$X$3,G$2,معالجة!$B$4:$X$4),""))</f>
        <v/>
      </c>
      <c r="H193" s="51" t="str">
        <f>IF(OR(H$2="",COUNT(الرصد!$C193:$Y193)=0),"",IFERROR(SUMIF(معالجة!$B$3:$X$3,H$2,الرصد!$C193:$Y193)/SUMIF(معالجة!$B$3:$X$3,H$2,معالجة!$B$4:$X$4),""))</f>
        <v/>
      </c>
      <c r="I193" s="51" t="str">
        <f>IF(OR(I$2="",COUNT(الرصد!$C193:$Y193)=0),"",IFERROR(SUMIF(معالجة!$B$3:$X$3,I$2,الرصد!$C193:$Y193)/SUMIF(معالجة!$B$3:$X$3,I$2,معالجة!$B$4:$X$4),""))</f>
        <v/>
      </c>
      <c r="J193" s="51" t="str">
        <f>IF(OR(J$2="",COUNT(الرصد!$C193:$Y193)=0),"",IFERROR(SUMIF(معالجة!$B$3:$X$3,J$2,الرصد!$C193:$Y193)/SUMIF(معالجة!$B$3:$X$3,J$2,معالجة!$B$4:$X$4),""))</f>
        <v/>
      </c>
      <c r="K193" s="51" t="str">
        <f>IF(OR(K$2="",COUNT(الرصد!$C193:$Y193)=0),"",IFERROR(SUMIF(معالجة!$B$3:$X$3,K$2,الرصد!$C193:$Y193)/SUMIF(معالجة!$B$3:$X$3,K$2,معالجة!$B$4:$X$4),""))</f>
        <v/>
      </c>
      <c r="L193" s="51" t="str">
        <f>IF(OR(L$2="",COUNT(الرصد!$C193:$Y193)=0),"",IFERROR(SUMIF(معالجة!$B$3:$X$3,L$2,الرصد!$C193:$Y193)/SUMIF(معالجة!$B$3:$X$3,L$2,معالجة!$B$4:$X$4),""))</f>
        <v/>
      </c>
      <c r="M193" s="51" t="str">
        <f>IF(OR(M$2="",COUNT(الرصد!$C193:$Y193)=0),"",IFERROR(SUMIF(معالجة!$B$3:$X$3,M$2,الرصد!$C193:$Y193)/SUMIF(معالجة!$B$3:$X$3,M$2,معالجة!$B$4:$X$4),""))</f>
        <v/>
      </c>
      <c r="N193" s="51" t="str">
        <f>IF(OR(N$2="",COUNT(الرصد!$C193:$Y193)=0),"",IFERROR(SUMIF(معالجة!$B$3:$X$3,N$2,الرصد!$C193:$Y193)/SUMIF(معالجة!$B$3:$X$3,N$2,معالجة!$B$4:$X$4),""))</f>
        <v/>
      </c>
      <c r="O193" s="51" t="str">
        <f>IF(OR(O$2="",COUNT(الرصد!$C193:$Y193)=0),"",IFERROR(SUMIF(معالجة!$B$3:$X$3,O$2,الرصد!$C193:$Y193)/SUMIF(معالجة!$B$3:$X$3,O$2,معالجة!$B$4:$X$4),""))</f>
        <v/>
      </c>
      <c r="P193" s="51" t="str">
        <f>IF(OR(P$2="",COUNT(الرصد!$C193:$Y193)=0),"",IFERROR(SUMIF(معالجة!$B$3:$X$3,P$2,الرصد!$C193:$Y193)/SUMIF(معالجة!$B$3:$X$3,P$2,معالجة!$B$4:$X$4),""))</f>
        <v/>
      </c>
      <c r="Q193" s="51" t="str">
        <f>IF(OR(Q$2="",COUNT(الرصد!$C193:$Y193)=0),"",IFERROR(SUMIF(معالجة!$B$3:$X$3,Q$2,الرصد!$C193:$Y193)/SUMIF(معالجة!$B$3:$X$3,Q$2,معالجة!$B$4:$X$4),""))</f>
        <v/>
      </c>
      <c r="R193" s="51" t="str">
        <f>IF(OR(R$2="",COUNT(الرصد!$C193:$Y193)=0),"",IFERROR(SUMIF(معالجة!$B$3:$X$3,R$2,الرصد!$C193:$Y193)/SUMIF(معالجة!$B$3:$X$3,R$2,معالجة!$B$4:$X$4),""))</f>
        <v/>
      </c>
      <c r="S193" s="51" t="str">
        <f>IF(OR(S$2="",COUNT(الرصد!$C193:$Y193)=0),"",IFERROR(SUMIF(معالجة!$B$3:$X$3,S$2,الرصد!$C193:$Y193)/SUMIF(معالجة!$B$3:$X$3,S$2,معالجة!$B$4:$X$4),""))</f>
        <v/>
      </c>
      <c r="T193" s="51" t="str">
        <f>IF(OR(T$2="",COUNT(الرصد!$C193:$Y193)=0),"",IFERROR(SUMIF(معالجة!$B$3:$X$3,T$2,الرصد!$C193:$Y193)/SUMIF(معالجة!$B$3:$X$3,T$2,معالجة!$B$4:$X$4),""))</f>
        <v/>
      </c>
      <c r="U193" s="51" t="str">
        <f>IF(OR(U$2="",COUNT(الرصد!$C193:$Y193)=0),"",IFERROR(SUMIF(معالجة!$B$3:$X$3,U$2,الرصد!$C193:$Y193)/SUMIF(معالجة!$B$3:$X$3,U$2,معالجة!$B$4:$X$4),""))</f>
        <v/>
      </c>
      <c r="V193" s="51" t="str">
        <f>IF(OR(V$2="",COUNT(الرصد!$C193:$Y193)=0),"",IFERROR(SUMIF(معالجة!$B$3:$X$3,V$2,الرصد!$C193:$Y193)/SUMIF(معالجة!$B$3:$X$3,V$2,معالجة!$B$4:$X$4),""))</f>
        <v/>
      </c>
      <c r="W193" s="51" t="str">
        <f>IFERROR(C193/المهارات!$G$27,"")</f>
        <v/>
      </c>
    </row>
    <row r="194" spans="1:23" ht="14.25" customHeight="1">
      <c r="A194" s="46" t="s">
        <v>263</v>
      </c>
      <c r="B194" s="46" t="s">
        <v>25</v>
      </c>
      <c r="C194" s="52" t="str">
        <f>IF(COUNT(الرصد!C194:Y194)=0,"",SUM(الرصد!C194:Y194))</f>
        <v/>
      </c>
      <c r="D194" s="51" t="str">
        <f>IF(OR(D$2="",COUNT(الرصد!$C194:$Y194)=0),"",IFERROR(SUMIF(معالجة!$B$3:$X$3,D$2,الرصد!$C194:$Y194)/SUMIF(معالجة!$B$3:$X$3,D$2,معالجة!$B$4:$X$4),""))</f>
        <v/>
      </c>
      <c r="E194" s="51" t="str">
        <f>IF(OR(E$2="",COUNT(الرصد!$C194:$Y194)=0),"",IFERROR(SUMIF(معالجة!$B$3:$X$3,E$2,الرصد!$C194:$Y194)/SUMIF(معالجة!$B$3:$X$3,E$2,معالجة!$B$4:$X$4),""))</f>
        <v/>
      </c>
      <c r="F194" s="51" t="str">
        <f>IF(OR(F$2="",COUNT(الرصد!$C194:$Y194)=0),"",IFERROR(SUMIF(معالجة!$B$3:$X$3,F$2,الرصد!$C194:$Y194)/SUMIF(معالجة!$B$3:$X$3,F$2,معالجة!$B$4:$X$4),""))</f>
        <v/>
      </c>
      <c r="G194" s="51" t="str">
        <f>IF(OR(G$2="",COUNT(الرصد!$C194:$Y194)=0),"",IFERROR(SUMIF(معالجة!$B$3:$X$3,G$2,الرصد!$C194:$Y194)/SUMIF(معالجة!$B$3:$X$3,G$2,معالجة!$B$4:$X$4),""))</f>
        <v/>
      </c>
      <c r="H194" s="51" t="str">
        <f>IF(OR(H$2="",COUNT(الرصد!$C194:$Y194)=0),"",IFERROR(SUMIF(معالجة!$B$3:$X$3,H$2,الرصد!$C194:$Y194)/SUMIF(معالجة!$B$3:$X$3,H$2,معالجة!$B$4:$X$4),""))</f>
        <v/>
      </c>
      <c r="I194" s="51" t="str">
        <f>IF(OR(I$2="",COUNT(الرصد!$C194:$Y194)=0),"",IFERROR(SUMIF(معالجة!$B$3:$X$3,I$2,الرصد!$C194:$Y194)/SUMIF(معالجة!$B$3:$X$3,I$2,معالجة!$B$4:$X$4),""))</f>
        <v/>
      </c>
      <c r="J194" s="51" t="str">
        <f>IF(OR(J$2="",COUNT(الرصد!$C194:$Y194)=0),"",IFERROR(SUMIF(معالجة!$B$3:$X$3,J$2,الرصد!$C194:$Y194)/SUMIF(معالجة!$B$3:$X$3,J$2,معالجة!$B$4:$X$4),""))</f>
        <v/>
      </c>
      <c r="K194" s="51" t="str">
        <f>IF(OR(K$2="",COUNT(الرصد!$C194:$Y194)=0),"",IFERROR(SUMIF(معالجة!$B$3:$X$3,K$2,الرصد!$C194:$Y194)/SUMIF(معالجة!$B$3:$X$3,K$2,معالجة!$B$4:$X$4),""))</f>
        <v/>
      </c>
      <c r="L194" s="51" t="str">
        <f>IF(OR(L$2="",COUNT(الرصد!$C194:$Y194)=0),"",IFERROR(SUMIF(معالجة!$B$3:$X$3,L$2,الرصد!$C194:$Y194)/SUMIF(معالجة!$B$3:$X$3,L$2,معالجة!$B$4:$X$4),""))</f>
        <v/>
      </c>
      <c r="M194" s="51" t="str">
        <f>IF(OR(M$2="",COUNT(الرصد!$C194:$Y194)=0),"",IFERROR(SUMIF(معالجة!$B$3:$X$3,M$2,الرصد!$C194:$Y194)/SUMIF(معالجة!$B$3:$X$3,M$2,معالجة!$B$4:$X$4),""))</f>
        <v/>
      </c>
      <c r="N194" s="51" t="str">
        <f>IF(OR(N$2="",COUNT(الرصد!$C194:$Y194)=0),"",IFERROR(SUMIF(معالجة!$B$3:$X$3,N$2,الرصد!$C194:$Y194)/SUMIF(معالجة!$B$3:$X$3,N$2,معالجة!$B$4:$X$4),""))</f>
        <v/>
      </c>
      <c r="O194" s="51" t="str">
        <f>IF(OR(O$2="",COUNT(الرصد!$C194:$Y194)=0),"",IFERROR(SUMIF(معالجة!$B$3:$X$3,O$2,الرصد!$C194:$Y194)/SUMIF(معالجة!$B$3:$X$3,O$2,معالجة!$B$4:$X$4),""))</f>
        <v/>
      </c>
      <c r="P194" s="51" t="str">
        <f>IF(OR(P$2="",COUNT(الرصد!$C194:$Y194)=0),"",IFERROR(SUMIF(معالجة!$B$3:$X$3,P$2,الرصد!$C194:$Y194)/SUMIF(معالجة!$B$3:$X$3,P$2,معالجة!$B$4:$X$4),""))</f>
        <v/>
      </c>
      <c r="Q194" s="51" t="str">
        <f>IF(OR(Q$2="",COUNT(الرصد!$C194:$Y194)=0),"",IFERROR(SUMIF(معالجة!$B$3:$X$3,Q$2,الرصد!$C194:$Y194)/SUMIF(معالجة!$B$3:$X$3,Q$2,معالجة!$B$4:$X$4),""))</f>
        <v/>
      </c>
      <c r="R194" s="51" t="str">
        <f>IF(OR(R$2="",COUNT(الرصد!$C194:$Y194)=0),"",IFERROR(SUMIF(معالجة!$B$3:$X$3,R$2,الرصد!$C194:$Y194)/SUMIF(معالجة!$B$3:$X$3,R$2,معالجة!$B$4:$X$4),""))</f>
        <v/>
      </c>
      <c r="S194" s="51" t="str">
        <f>IF(OR(S$2="",COUNT(الرصد!$C194:$Y194)=0),"",IFERROR(SUMIF(معالجة!$B$3:$X$3,S$2,الرصد!$C194:$Y194)/SUMIF(معالجة!$B$3:$X$3,S$2,معالجة!$B$4:$X$4),""))</f>
        <v/>
      </c>
      <c r="T194" s="51" t="str">
        <f>IF(OR(T$2="",COUNT(الرصد!$C194:$Y194)=0),"",IFERROR(SUMIF(معالجة!$B$3:$X$3,T$2,الرصد!$C194:$Y194)/SUMIF(معالجة!$B$3:$X$3,T$2,معالجة!$B$4:$X$4),""))</f>
        <v/>
      </c>
      <c r="U194" s="51" t="str">
        <f>IF(OR(U$2="",COUNT(الرصد!$C194:$Y194)=0),"",IFERROR(SUMIF(معالجة!$B$3:$X$3,U$2,الرصد!$C194:$Y194)/SUMIF(معالجة!$B$3:$X$3,U$2,معالجة!$B$4:$X$4),""))</f>
        <v/>
      </c>
      <c r="V194" s="51" t="str">
        <f>IF(OR(V$2="",COUNT(الرصد!$C194:$Y194)=0),"",IFERROR(SUMIF(معالجة!$B$3:$X$3,V$2,الرصد!$C194:$Y194)/SUMIF(معالجة!$B$3:$X$3,V$2,معالجة!$B$4:$X$4),""))</f>
        <v/>
      </c>
      <c r="W194" s="51" t="str">
        <f>IFERROR(C194/المهارات!$G$27,"")</f>
        <v/>
      </c>
    </row>
    <row r="195" spans="1:23" ht="14.25" customHeight="1">
      <c r="A195" s="42" t="s">
        <v>264</v>
      </c>
      <c r="B195" s="42" t="s">
        <v>25</v>
      </c>
      <c r="C195" s="50" t="str">
        <f>IF(COUNT(الرصد!C195:Y195)=0,"",SUM(الرصد!C195:Y195))</f>
        <v/>
      </c>
      <c r="D195" s="51" t="str">
        <f>IF(OR(D$2="",COUNT(الرصد!$C195:$Y195)=0),"",IFERROR(SUMIF(معالجة!$B$3:$X$3,D$2,الرصد!$C195:$Y195)/SUMIF(معالجة!$B$3:$X$3,D$2,معالجة!$B$4:$X$4),""))</f>
        <v/>
      </c>
      <c r="E195" s="51" t="str">
        <f>IF(OR(E$2="",COUNT(الرصد!$C195:$Y195)=0),"",IFERROR(SUMIF(معالجة!$B$3:$X$3,E$2,الرصد!$C195:$Y195)/SUMIF(معالجة!$B$3:$X$3,E$2,معالجة!$B$4:$X$4),""))</f>
        <v/>
      </c>
      <c r="F195" s="51" t="str">
        <f>IF(OR(F$2="",COUNT(الرصد!$C195:$Y195)=0),"",IFERROR(SUMIF(معالجة!$B$3:$X$3,F$2,الرصد!$C195:$Y195)/SUMIF(معالجة!$B$3:$X$3,F$2,معالجة!$B$4:$X$4),""))</f>
        <v/>
      </c>
      <c r="G195" s="51" t="str">
        <f>IF(OR(G$2="",COUNT(الرصد!$C195:$Y195)=0),"",IFERROR(SUMIF(معالجة!$B$3:$X$3,G$2,الرصد!$C195:$Y195)/SUMIF(معالجة!$B$3:$X$3,G$2,معالجة!$B$4:$X$4),""))</f>
        <v/>
      </c>
      <c r="H195" s="51" t="str">
        <f>IF(OR(H$2="",COUNT(الرصد!$C195:$Y195)=0),"",IFERROR(SUMIF(معالجة!$B$3:$X$3,H$2,الرصد!$C195:$Y195)/SUMIF(معالجة!$B$3:$X$3,H$2,معالجة!$B$4:$X$4),""))</f>
        <v/>
      </c>
      <c r="I195" s="51" t="str">
        <f>IF(OR(I$2="",COUNT(الرصد!$C195:$Y195)=0),"",IFERROR(SUMIF(معالجة!$B$3:$X$3,I$2,الرصد!$C195:$Y195)/SUMIF(معالجة!$B$3:$X$3,I$2,معالجة!$B$4:$X$4),""))</f>
        <v/>
      </c>
      <c r="J195" s="51" t="str">
        <f>IF(OR(J$2="",COUNT(الرصد!$C195:$Y195)=0),"",IFERROR(SUMIF(معالجة!$B$3:$X$3,J$2,الرصد!$C195:$Y195)/SUMIF(معالجة!$B$3:$X$3,J$2,معالجة!$B$4:$X$4),""))</f>
        <v/>
      </c>
      <c r="K195" s="51" t="str">
        <f>IF(OR(K$2="",COUNT(الرصد!$C195:$Y195)=0),"",IFERROR(SUMIF(معالجة!$B$3:$X$3,K$2,الرصد!$C195:$Y195)/SUMIF(معالجة!$B$3:$X$3,K$2,معالجة!$B$4:$X$4),""))</f>
        <v/>
      </c>
      <c r="L195" s="51" t="str">
        <f>IF(OR(L$2="",COUNT(الرصد!$C195:$Y195)=0),"",IFERROR(SUMIF(معالجة!$B$3:$X$3,L$2,الرصد!$C195:$Y195)/SUMIF(معالجة!$B$3:$X$3,L$2,معالجة!$B$4:$X$4),""))</f>
        <v/>
      </c>
      <c r="M195" s="51" t="str">
        <f>IF(OR(M$2="",COUNT(الرصد!$C195:$Y195)=0),"",IFERROR(SUMIF(معالجة!$B$3:$X$3,M$2,الرصد!$C195:$Y195)/SUMIF(معالجة!$B$3:$X$3,M$2,معالجة!$B$4:$X$4),""))</f>
        <v/>
      </c>
      <c r="N195" s="51" t="str">
        <f>IF(OR(N$2="",COUNT(الرصد!$C195:$Y195)=0),"",IFERROR(SUMIF(معالجة!$B$3:$X$3,N$2,الرصد!$C195:$Y195)/SUMIF(معالجة!$B$3:$X$3,N$2,معالجة!$B$4:$X$4),""))</f>
        <v/>
      </c>
      <c r="O195" s="51" t="str">
        <f>IF(OR(O$2="",COUNT(الرصد!$C195:$Y195)=0),"",IFERROR(SUMIF(معالجة!$B$3:$X$3,O$2,الرصد!$C195:$Y195)/SUMIF(معالجة!$B$3:$X$3,O$2,معالجة!$B$4:$X$4),""))</f>
        <v/>
      </c>
      <c r="P195" s="51" t="str">
        <f>IF(OR(P$2="",COUNT(الرصد!$C195:$Y195)=0),"",IFERROR(SUMIF(معالجة!$B$3:$X$3,P$2,الرصد!$C195:$Y195)/SUMIF(معالجة!$B$3:$X$3,P$2,معالجة!$B$4:$X$4),""))</f>
        <v/>
      </c>
      <c r="Q195" s="51" t="str">
        <f>IF(OR(Q$2="",COUNT(الرصد!$C195:$Y195)=0),"",IFERROR(SUMIF(معالجة!$B$3:$X$3,Q$2,الرصد!$C195:$Y195)/SUMIF(معالجة!$B$3:$X$3,Q$2,معالجة!$B$4:$X$4),""))</f>
        <v/>
      </c>
      <c r="R195" s="51" t="str">
        <f>IF(OR(R$2="",COUNT(الرصد!$C195:$Y195)=0),"",IFERROR(SUMIF(معالجة!$B$3:$X$3,R$2,الرصد!$C195:$Y195)/SUMIF(معالجة!$B$3:$X$3,R$2,معالجة!$B$4:$X$4),""))</f>
        <v/>
      </c>
      <c r="S195" s="51" t="str">
        <f>IF(OR(S$2="",COUNT(الرصد!$C195:$Y195)=0),"",IFERROR(SUMIF(معالجة!$B$3:$X$3,S$2,الرصد!$C195:$Y195)/SUMIF(معالجة!$B$3:$X$3,S$2,معالجة!$B$4:$X$4),""))</f>
        <v/>
      </c>
      <c r="T195" s="51" t="str">
        <f>IF(OR(T$2="",COUNT(الرصد!$C195:$Y195)=0),"",IFERROR(SUMIF(معالجة!$B$3:$X$3,T$2,الرصد!$C195:$Y195)/SUMIF(معالجة!$B$3:$X$3,T$2,معالجة!$B$4:$X$4),""))</f>
        <v/>
      </c>
      <c r="U195" s="51" t="str">
        <f>IF(OR(U$2="",COUNT(الرصد!$C195:$Y195)=0),"",IFERROR(SUMIF(معالجة!$B$3:$X$3,U$2,الرصد!$C195:$Y195)/SUMIF(معالجة!$B$3:$X$3,U$2,معالجة!$B$4:$X$4),""))</f>
        <v/>
      </c>
      <c r="V195" s="51" t="str">
        <f>IF(OR(V$2="",COUNT(الرصد!$C195:$Y195)=0),"",IFERROR(SUMIF(معالجة!$B$3:$X$3,V$2,الرصد!$C195:$Y195)/SUMIF(معالجة!$B$3:$X$3,V$2,معالجة!$B$4:$X$4),""))</f>
        <v/>
      </c>
      <c r="W195" s="51" t="str">
        <f>IFERROR(C195/المهارات!$G$27,"")</f>
        <v/>
      </c>
    </row>
    <row r="196" spans="1:23" ht="14.25" customHeight="1">
      <c r="A196" s="46" t="s">
        <v>265</v>
      </c>
      <c r="B196" s="46" t="s">
        <v>25</v>
      </c>
      <c r="C196" s="52" t="str">
        <f>IF(COUNT(الرصد!C196:Y196)=0,"",SUM(الرصد!C196:Y196))</f>
        <v/>
      </c>
      <c r="D196" s="51" t="str">
        <f>IF(OR(D$2="",COUNT(الرصد!$C196:$Y196)=0),"",IFERROR(SUMIF(معالجة!$B$3:$X$3,D$2,الرصد!$C196:$Y196)/SUMIF(معالجة!$B$3:$X$3,D$2,معالجة!$B$4:$X$4),""))</f>
        <v/>
      </c>
      <c r="E196" s="51" t="str">
        <f>IF(OR(E$2="",COUNT(الرصد!$C196:$Y196)=0),"",IFERROR(SUMIF(معالجة!$B$3:$X$3,E$2,الرصد!$C196:$Y196)/SUMIF(معالجة!$B$3:$X$3,E$2,معالجة!$B$4:$X$4),""))</f>
        <v/>
      </c>
      <c r="F196" s="51" t="str">
        <f>IF(OR(F$2="",COUNT(الرصد!$C196:$Y196)=0),"",IFERROR(SUMIF(معالجة!$B$3:$X$3,F$2,الرصد!$C196:$Y196)/SUMIF(معالجة!$B$3:$X$3,F$2,معالجة!$B$4:$X$4),""))</f>
        <v/>
      </c>
      <c r="G196" s="51" t="str">
        <f>IF(OR(G$2="",COUNT(الرصد!$C196:$Y196)=0),"",IFERROR(SUMIF(معالجة!$B$3:$X$3,G$2,الرصد!$C196:$Y196)/SUMIF(معالجة!$B$3:$X$3,G$2,معالجة!$B$4:$X$4),""))</f>
        <v/>
      </c>
      <c r="H196" s="51" t="str">
        <f>IF(OR(H$2="",COUNT(الرصد!$C196:$Y196)=0),"",IFERROR(SUMIF(معالجة!$B$3:$X$3,H$2,الرصد!$C196:$Y196)/SUMIF(معالجة!$B$3:$X$3,H$2,معالجة!$B$4:$X$4),""))</f>
        <v/>
      </c>
      <c r="I196" s="51" t="str">
        <f>IF(OR(I$2="",COUNT(الرصد!$C196:$Y196)=0),"",IFERROR(SUMIF(معالجة!$B$3:$X$3,I$2,الرصد!$C196:$Y196)/SUMIF(معالجة!$B$3:$X$3,I$2,معالجة!$B$4:$X$4),""))</f>
        <v/>
      </c>
      <c r="J196" s="51" t="str">
        <f>IF(OR(J$2="",COUNT(الرصد!$C196:$Y196)=0),"",IFERROR(SUMIF(معالجة!$B$3:$X$3,J$2,الرصد!$C196:$Y196)/SUMIF(معالجة!$B$3:$X$3,J$2,معالجة!$B$4:$X$4),""))</f>
        <v/>
      </c>
      <c r="K196" s="51" t="str">
        <f>IF(OR(K$2="",COUNT(الرصد!$C196:$Y196)=0),"",IFERROR(SUMIF(معالجة!$B$3:$X$3,K$2,الرصد!$C196:$Y196)/SUMIF(معالجة!$B$3:$X$3,K$2,معالجة!$B$4:$X$4),""))</f>
        <v/>
      </c>
      <c r="L196" s="51" t="str">
        <f>IF(OR(L$2="",COUNT(الرصد!$C196:$Y196)=0),"",IFERROR(SUMIF(معالجة!$B$3:$X$3,L$2,الرصد!$C196:$Y196)/SUMIF(معالجة!$B$3:$X$3,L$2,معالجة!$B$4:$X$4),""))</f>
        <v/>
      </c>
      <c r="M196" s="51" t="str">
        <f>IF(OR(M$2="",COUNT(الرصد!$C196:$Y196)=0),"",IFERROR(SUMIF(معالجة!$B$3:$X$3,M$2,الرصد!$C196:$Y196)/SUMIF(معالجة!$B$3:$X$3,M$2,معالجة!$B$4:$X$4),""))</f>
        <v/>
      </c>
      <c r="N196" s="51" t="str">
        <f>IF(OR(N$2="",COUNT(الرصد!$C196:$Y196)=0),"",IFERROR(SUMIF(معالجة!$B$3:$X$3,N$2,الرصد!$C196:$Y196)/SUMIF(معالجة!$B$3:$X$3,N$2,معالجة!$B$4:$X$4),""))</f>
        <v/>
      </c>
      <c r="O196" s="51" t="str">
        <f>IF(OR(O$2="",COUNT(الرصد!$C196:$Y196)=0),"",IFERROR(SUMIF(معالجة!$B$3:$X$3,O$2,الرصد!$C196:$Y196)/SUMIF(معالجة!$B$3:$X$3,O$2,معالجة!$B$4:$X$4),""))</f>
        <v/>
      </c>
      <c r="P196" s="51" t="str">
        <f>IF(OR(P$2="",COUNT(الرصد!$C196:$Y196)=0),"",IFERROR(SUMIF(معالجة!$B$3:$X$3,P$2,الرصد!$C196:$Y196)/SUMIF(معالجة!$B$3:$X$3,P$2,معالجة!$B$4:$X$4),""))</f>
        <v/>
      </c>
      <c r="Q196" s="51" t="str">
        <f>IF(OR(Q$2="",COUNT(الرصد!$C196:$Y196)=0),"",IFERROR(SUMIF(معالجة!$B$3:$X$3,Q$2,الرصد!$C196:$Y196)/SUMIF(معالجة!$B$3:$X$3,Q$2,معالجة!$B$4:$X$4),""))</f>
        <v/>
      </c>
      <c r="R196" s="51" t="str">
        <f>IF(OR(R$2="",COUNT(الرصد!$C196:$Y196)=0),"",IFERROR(SUMIF(معالجة!$B$3:$X$3,R$2,الرصد!$C196:$Y196)/SUMIF(معالجة!$B$3:$X$3,R$2,معالجة!$B$4:$X$4),""))</f>
        <v/>
      </c>
      <c r="S196" s="51" t="str">
        <f>IF(OR(S$2="",COUNT(الرصد!$C196:$Y196)=0),"",IFERROR(SUMIF(معالجة!$B$3:$X$3,S$2,الرصد!$C196:$Y196)/SUMIF(معالجة!$B$3:$X$3,S$2,معالجة!$B$4:$X$4),""))</f>
        <v/>
      </c>
      <c r="T196" s="51" t="str">
        <f>IF(OR(T$2="",COUNT(الرصد!$C196:$Y196)=0),"",IFERROR(SUMIF(معالجة!$B$3:$X$3,T$2,الرصد!$C196:$Y196)/SUMIF(معالجة!$B$3:$X$3,T$2,معالجة!$B$4:$X$4),""))</f>
        <v/>
      </c>
      <c r="U196" s="51" t="str">
        <f>IF(OR(U$2="",COUNT(الرصد!$C196:$Y196)=0),"",IFERROR(SUMIF(معالجة!$B$3:$X$3,U$2,الرصد!$C196:$Y196)/SUMIF(معالجة!$B$3:$X$3,U$2,معالجة!$B$4:$X$4),""))</f>
        <v/>
      </c>
      <c r="V196" s="51" t="str">
        <f>IF(OR(V$2="",COUNT(الرصد!$C196:$Y196)=0),"",IFERROR(SUMIF(معالجة!$B$3:$X$3,V$2,الرصد!$C196:$Y196)/SUMIF(معالجة!$B$3:$X$3,V$2,معالجة!$B$4:$X$4),""))</f>
        <v/>
      </c>
      <c r="W196" s="51" t="str">
        <f>IFERROR(C196/المهارات!$G$27,"")</f>
        <v/>
      </c>
    </row>
    <row r="197" spans="1:23" ht="14.25" customHeight="1">
      <c r="A197" s="42" t="s">
        <v>266</v>
      </c>
      <c r="B197" s="42" t="s">
        <v>26</v>
      </c>
      <c r="C197" s="50" t="str">
        <f>IF(COUNT(الرصد!C197:Y197)=0,"",SUM(الرصد!C197:Y197))</f>
        <v/>
      </c>
      <c r="D197" s="51" t="str">
        <f>IF(OR(D$2="",COUNT(الرصد!$C197:$Y197)=0),"",IFERROR(SUMIF(معالجة!$B$3:$X$3,D$2,الرصد!$C197:$Y197)/SUMIF(معالجة!$B$3:$X$3,D$2,معالجة!$B$4:$X$4),""))</f>
        <v/>
      </c>
      <c r="E197" s="51" t="str">
        <f>IF(OR(E$2="",COUNT(الرصد!$C197:$Y197)=0),"",IFERROR(SUMIF(معالجة!$B$3:$X$3,E$2,الرصد!$C197:$Y197)/SUMIF(معالجة!$B$3:$X$3,E$2,معالجة!$B$4:$X$4),""))</f>
        <v/>
      </c>
      <c r="F197" s="51" t="str">
        <f>IF(OR(F$2="",COUNT(الرصد!$C197:$Y197)=0),"",IFERROR(SUMIF(معالجة!$B$3:$X$3,F$2,الرصد!$C197:$Y197)/SUMIF(معالجة!$B$3:$X$3,F$2,معالجة!$B$4:$X$4),""))</f>
        <v/>
      </c>
      <c r="G197" s="51" t="str">
        <f>IF(OR(G$2="",COUNT(الرصد!$C197:$Y197)=0),"",IFERROR(SUMIF(معالجة!$B$3:$X$3,G$2,الرصد!$C197:$Y197)/SUMIF(معالجة!$B$3:$X$3,G$2,معالجة!$B$4:$X$4),""))</f>
        <v/>
      </c>
      <c r="H197" s="51" t="str">
        <f>IF(OR(H$2="",COUNT(الرصد!$C197:$Y197)=0),"",IFERROR(SUMIF(معالجة!$B$3:$X$3,H$2,الرصد!$C197:$Y197)/SUMIF(معالجة!$B$3:$X$3,H$2,معالجة!$B$4:$X$4),""))</f>
        <v/>
      </c>
      <c r="I197" s="51" t="str">
        <f>IF(OR(I$2="",COUNT(الرصد!$C197:$Y197)=0),"",IFERROR(SUMIF(معالجة!$B$3:$X$3,I$2,الرصد!$C197:$Y197)/SUMIF(معالجة!$B$3:$X$3,I$2,معالجة!$B$4:$X$4),""))</f>
        <v/>
      </c>
      <c r="J197" s="51" t="str">
        <f>IF(OR(J$2="",COUNT(الرصد!$C197:$Y197)=0),"",IFERROR(SUMIF(معالجة!$B$3:$X$3,J$2,الرصد!$C197:$Y197)/SUMIF(معالجة!$B$3:$X$3,J$2,معالجة!$B$4:$X$4),""))</f>
        <v/>
      </c>
      <c r="K197" s="51" t="str">
        <f>IF(OR(K$2="",COUNT(الرصد!$C197:$Y197)=0),"",IFERROR(SUMIF(معالجة!$B$3:$X$3,K$2,الرصد!$C197:$Y197)/SUMIF(معالجة!$B$3:$X$3,K$2,معالجة!$B$4:$X$4),""))</f>
        <v/>
      </c>
      <c r="L197" s="51" t="str">
        <f>IF(OR(L$2="",COUNT(الرصد!$C197:$Y197)=0),"",IFERROR(SUMIF(معالجة!$B$3:$X$3,L$2,الرصد!$C197:$Y197)/SUMIF(معالجة!$B$3:$X$3,L$2,معالجة!$B$4:$X$4),""))</f>
        <v/>
      </c>
      <c r="M197" s="51" t="str">
        <f>IF(OR(M$2="",COUNT(الرصد!$C197:$Y197)=0),"",IFERROR(SUMIF(معالجة!$B$3:$X$3,M$2,الرصد!$C197:$Y197)/SUMIF(معالجة!$B$3:$X$3,M$2,معالجة!$B$4:$X$4),""))</f>
        <v/>
      </c>
      <c r="N197" s="51" t="str">
        <f>IF(OR(N$2="",COUNT(الرصد!$C197:$Y197)=0),"",IFERROR(SUMIF(معالجة!$B$3:$X$3,N$2,الرصد!$C197:$Y197)/SUMIF(معالجة!$B$3:$X$3,N$2,معالجة!$B$4:$X$4),""))</f>
        <v/>
      </c>
      <c r="O197" s="51" t="str">
        <f>IF(OR(O$2="",COUNT(الرصد!$C197:$Y197)=0),"",IFERROR(SUMIF(معالجة!$B$3:$X$3,O$2,الرصد!$C197:$Y197)/SUMIF(معالجة!$B$3:$X$3,O$2,معالجة!$B$4:$X$4),""))</f>
        <v/>
      </c>
      <c r="P197" s="51" t="str">
        <f>IF(OR(P$2="",COUNT(الرصد!$C197:$Y197)=0),"",IFERROR(SUMIF(معالجة!$B$3:$X$3,P$2,الرصد!$C197:$Y197)/SUMIF(معالجة!$B$3:$X$3,P$2,معالجة!$B$4:$X$4),""))</f>
        <v/>
      </c>
      <c r="Q197" s="51" t="str">
        <f>IF(OR(Q$2="",COUNT(الرصد!$C197:$Y197)=0),"",IFERROR(SUMIF(معالجة!$B$3:$X$3,Q$2,الرصد!$C197:$Y197)/SUMIF(معالجة!$B$3:$X$3,Q$2,معالجة!$B$4:$X$4),""))</f>
        <v/>
      </c>
      <c r="R197" s="51" t="str">
        <f>IF(OR(R$2="",COUNT(الرصد!$C197:$Y197)=0),"",IFERROR(SUMIF(معالجة!$B$3:$X$3,R$2,الرصد!$C197:$Y197)/SUMIF(معالجة!$B$3:$X$3,R$2,معالجة!$B$4:$X$4),""))</f>
        <v/>
      </c>
      <c r="S197" s="51" t="str">
        <f>IF(OR(S$2="",COUNT(الرصد!$C197:$Y197)=0),"",IFERROR(SUMIF(معالجة!$B$3:$X$3,S$2,الرصد!$C197:$Y197)/SUMIF(معالجة!$B$3:$X$3,S$2,معالجة!$B$4:$X$4),""))</f>
        <v/>
      </c>
      <c r="T197" s="51" t="str">
        <f>IF(OR(T$2="",COUNT(الرصد!$C197:$Y197)=0),"",IFERROR(SUMIF(معالجة!$B$3:$X$3,T$2,الرصد!$C197:$Y197)/SUMIF(معالجة!$B$3:$X$3,T$2,معالجة!$B$4:$X$4),""))</f>
        <v/>
      </c>
      <c r="U197" s="51" t="str">
        <f>IF(OR(U$2="",COUNT(الرصد!$C197:$Y197)=0),"",IFERROR(SUMIF(معالجة!$B$3:$X$3,U$2,الرصد!$C197:$Y197)/SUMIF(معالجة!$B$3:$X$3,U$2,معالجة!$B$4:$X$4),""))</f>
        <v/>
      </c>
      <c r="V197" s="51" t="str">
        <f>IF(OR(V$2="",COUNT(الرصد!$C197:$Y197)=0),"",IFERROR(SUMIF(معالجة!$B$3:$X$3,V$2,الرصد!$C197:$Y197)/SUMIF(معالجة!$B$3:$X$3,V$2,معالجة!$B$4:$X$4),""))</f>
        <v/>
      </c>
      <c r="W197" s="51" t="str">
        <f>IFERROR(C197/المهارات!$G$27,"")</f>
        <v/>
      </c>
    </row>
    <row r="198" spans="1:23" ht="14.25" customHeight="1">
      <c r="A198" s="46" t="s">
        <v>267</v>
      </c>
      <c r="B198" s="46" t="s">
        <v>26</v>
      </c>
      <c r="C198" s="52" t="str">
        <f>IF(COUNT(الرصد!C198:Y198)=0,"",SUM(الرصد!C198:Y198))</f>
        <v/>
      </c>
      <c r="D198" s="51" t="str">
        <f>IF(OR(D$2="",COUNT(الرصد!$C198:$Y198)=0),"",IFERROR(SUMIF(معالجة!$B$3:$X$3,D$2,الرصد!$C198:$Y198)/SUMIF(معالجة!$B$3:$X$3,D$2,معالجة!$B$4:$X$4),""))</f>
        <v/>
      </c>
      <c r="E198" s="51" t="str">
        <f>IF(OR(E$2="",COUNT(الرصد!$C198:$Y198)=0),"",IFERROR(SUMIF(معالجة!$B$3:$X$3,E$2,الرصد!$C198:$Y198)/SUMIF(معالجة!$B$3:$X$3,E$2,معالجة!$B$4:$X$4),""))</f>
        <v/>
      </c>
      <c r="F198" s="51" t="str">
        <f>IF(OR(F$2="",COUNT(الرصد!$C198:$Y198)=0),"",IFERROR(SUMIF(معالجة!$B$3:$X$3,F$2,الرصد!$C198:$Y198)/SUMIF(معالجة!$B$3:$X$3,F$2,معالجة!$B$4:$X$4),""))</f>
        <v/>
      </c>
      <c r="G198" s="51" t="str">
        <f>IF(OR(G$2="",COUNT(الرصد!$C198:$Y198)=0),"",IFERROR(SUMIF(معالجة!$B$3:$X$3,G$2,الرصد!$C198:$Y198)/SUMIF(معالجة!$B$3:$X$3,G$2,معالجة!$B$4:$X$4),""))</f>
        <v/>
      </c>
      <c r="H198" s="51" t="str">
        <f>IF(OR(H$2="",COUNT(الرصد!$C198:$Y198)=0),"",IFERROR(SUMIF(معالجة!$B$3:$X$3,H$2,الرصد!$C198:$Y198)/SUMIF(معالجة!$B$3:$X$3,H$2,معالجة!$B$4:$X$4),""))</f>
        <v/>
      </c>
      <c r="I198" s="51" t="str">
        <f>IF(OR(I$2="",COUNT(الرصد!$C198:$Y198)=0),"",IFERROR(SUMIF(معالجة!$B$3:$X$3,I$2,الرصد!$C198:$Y198)/SUMIF(معالجة!$B$3:$X$3,I$2,معالجة!$B$4:$X$4),""))</f>
        <v/>
      </c>
      <c r="J198" s="51" t="str">
        <f>IF(OR(J$2="",COUNT(الرصد!$C198:$Y198)=0),"",IFERROR(SUMIF(معالجة!$B$3:$X$3,J$2,الرصد!$C198:$Y198)/SUMIF(معالجة!$B$3:$X$3,J$2,معالجة!$B$4:$X$4),""))</f>
        <v/>
      </c>
      <c r="K198" s="51" t="str">
        <f>IF(OR(K$2="",COUNT(الرصد!$C198:$Y198)=0),"",IFERROR(SUMIF(معالجة!$B$3:$X$3,K$2,الرصد!$C198:$Y198)/SUMIF(معالجة!$B$3:$X$3,K$2,معالجة!$B$4:$X$4),""))</f>
        <v/>
      </c>
      <c r="L198" s="51" t="str">
        <f>IF(OR(L$2="",COUNT(الرصد!$C198:$Y198)=0),"",IFERROR(SUMIF(معالجة!$B$3:$X$3,L$2,الرصد!$C198:$Y198)/SUMIF(معالجة!$B$3:$X$3,L$2,معالجة!$B$4:$X$4),""))</f>
        <v/>
      </c>
      <c r="M198" s="51" t="str">
        <f>IF(OR(M$2="",COUNT(الرصد!$C198:$Y198)=0),"",IFERROR(SUMIF(معالجة!$B$3:$X$3,M$2,الرصد!$C198:$Y198)/SUMIF(معالجة!$B$3:$X$3,M$2,معالجة!$B$4:$X$4),""))</f>
        <v/>
      </c>
      <c r="N198" s="51" t="str">
        <f>IF(OR(N$2="",COUNT(الرصد!$C198:$Y198)=0),"",IFERROR(SUMIF(معالجة!$B$3:$X$3,N$2,الرصد!$C198:$Y198)/SUMIF(معالجة!$B$3:$X$3,N$2,معالجة!$B$4:$X$4),""))</f>
        <v/>
      </c>
      <c r="O198" s="51" t="str">
        <f>IF(OR(O$2="",COUNT(الرصد!$C198:$Y198)=0),"",IFERROR(SUMIF(معالجة!$B$3:$X$3,O$2,الرصد!$C198:$Y198)/SUMIF(معالجة!$B$3:$X$3,O$2,معالجة!$B$4:$X$4),""))</f>
        <v/>
      </c>
      <c r="P198" s="51" t="str">
        <f>IF(OR(P$2="",COUNT(الرصد!$C198:$Y198)=0),"",IFERROR(SUMIF(معالجة!$B$3:$X$3,P$2,الرصد!$C198:$Y198)/SUMIF(معالجة!$B$3:$X$3,P$2,معالجة!$B$4:$X$4),""))</f>
        <v/>
      </c>
      <c r="Q198" s="51" t="str">
        <f>IF(OR(Q$2="",COUNT(الرصد!$C198:$Y198)=0),"",IFERROR(SUMIF(معالجة!$B$3:$X$3,Q$2,الرصد!$C198:$Y198)/SUMIF(معالجة!$B$3:$X$3,Q$2,معالجة!$B$4:$X$4),""))</f>
        <v/>
      </c>
      <c r="R198" s="51" t="str">
        <f>IF(OR(R$2="",COUNT(الرصد!$C198:$Y198)=0),"",IFERROR(SUMIF(معالجة!$B$3:$X$3,R$2,الرصد!$C198:$Y198)/SUMIF(معالجة!$B$3:$X$3,R$2,معالجة!$B$4:$X$4),""))</f>
        <v/>
      </c>
      <c r="S198" s="51" t="str">
        <f>IF(OR(S$2="",COUNT(الرصد!$C198:$Y198)=0),"",IFERROR(SUMIF(معالجة!$B$3:$X$3,S$2,الرصد!$C198:$Y198)/SUMIF(معالجة!$B$3:$X$3,S$2,معالجة!$B$4:$X$4),""))</f>
        <v/>
      </c>
      <c r="T198" s="51" t="str">
        <f>IF(OR(T$2="",COUNT(الرصد!$C198:$Y198)=0),"",IFERROR(SUMIF(معالجة!$B$3:$X$3,T$2,الرصد!$C198:$Y198)/SUMIF(معالجة!$B$3:$X$3,T$2,معالجة!$B$4:$X$4),""))</f>
        <v/>
      </c>
      <c r="U198" s="51" t="str">
        <f>IF(OR(U$2="",COUNT(الرصد!$C198:$Y198)=0),"",IFERROR(SUMIF(معالجة!$B$3:$X$3,U$2,الرصد!$C198:$Y198)/SUMIF(معالجة!$B$3:$X$3,U$2,معالجة!$B$4:$X$4),""))</f>
        <v/>
      </c>
      <c r="V198" s="51" t="str">
        <f>IF(OR(V$2="",COUNT(الرصد!$C198:$Y198)=0),"",IFERROR(SUMIF(معالجة!$B$3:$X$3,V$2,الرصد!$C198:$Y198)/SUMIF(معالجة!$B$3:$X$3,V$2,معالجة!$B$4:$X$4),""))</f>
        <v/>
      </c>
      <c r="W198" s="51" t="str">
        <f>IFERROR(C198/المهارات!$G$27,"")</f>
        <v/>
      </c>
    </row>
    <row r="199" spans="1:23" ht="14.25" customHeight="1">
      <c r="A199" s="42" t="s">
        <v>268</v>
      </c>
      <c r="B199" s="42" t="s">
        <v>26</v>
      </c>
      <c r="C199" s="50" t="str">
        <f>IF(COUNT(الرصد!C199:Y199)=0,"",SUM(الرصد!C199:Y199))</f>
        <v/>
      </c>
      <c r="D199" s="51" t="str">
        <f>IF(OR(D$2="",COUNT(الرصد!$C199:$Y199)=0),"",IFERROR(SUMIF(معالجة!$B$3:$X$3,D$2,الرصد!$C199:$Y199)/SUMIF(معالجة!$B$3:$X$3,D$2,معالجة!$B$4:$X$4),""))</f>
        <v/>
      </c>
      <c r="E199" s="51" t="str">
        <f>IF(OR(E$2="",COUNT(الرصد!$C199:$Y199)=0),"",IFERROR(SUMIF(معالجة!$B$3:$X$3,E$2,الرصد!$C199:$Y199)/SUMIF(معالجة!$B$3:$X$3,E$2,معالجة!$B$4:$X$4),""))</f>
        <v/>
      </c>
      <c r="F199" s="51" t="str">
        <f>IF(OR(F$2="",COUNT(الرصد!$C199:$Y199)=0),"",IFERROR(SUMIF(معالجة!$B$3:$X$3,F$2,الرصد!$C199:$Y199)/SUMIF(معالجة!$B$3:$X$3,F$2,معالجة!$B$4:$X$4),""))</f>
        <v/>
      </c>
      <c r="G199" s="51" t="str">
        <f>IF(OR(G$2="",COUNT(الرصد!$C199:$Y199)=0),"",IFERROR(SUMIF(معالجة!$B$3:$X$3,G$2,الرصد!$C199:$Y199)/SUMIF(معالجة!$B$3:$X$3,G$2,معالجة!$B$4:$X$4),""))</f>
        <v/>
      </c>
      <c r="H199" s="51" t="str">
        <f>IF(OR(H$2="",COUNT(الرصد!$C199:$Y199)=0),"",IFERROR(SUMIF(معالجة!$B$3:$X$3,H$2,الرصد!$C199:$Y199)/SUMIF(معالجة!$B$3:$X$3,H$2,معالجة!$B$4:$X$4),""))</f>
        <v/>
      </c>
      <c r="I199" s="51" t="str">
        <f>IF(OR(I$2="",COUNT(الرصد!$C199:$Y199)=0),"",IFERROR(SUMIF(معالجة!$B$3:$X$3,I$2,الرصد!$C199:$Y199)/SUMIF(معالجة!$B$3:$X$3,I$2,معالجة!$B$4:$X$4),""))</f>
        <v/>
      </c>
      <c r="J199" s="51" t="str">
        <f>IF(OR(J$2="",COUNT(الرصد!$C199:$Y199)=0),"",IFERROR(SUMIF(معالجة!$B$3:$X$3,J$2,الرصد!$C199:$Y199)/SUMIF(معالجة!$B$3:$X$3,J$2,معالجة!$B$4:$X$4),""))</f>
        <v/>
      </c>
      <c r="K199" s="51" t="str">
        <f>IF(OR(K$2="",COUNT(الرصد!$C199:$Y199)=0),"",IFERROR(SUMIF(معالجة!$B$3:$X$3,K$2,الرصد!$C199:$Y199)/SUMIF(معالجة!$B$3:$X$3,K$2,معالجة!$B$4:$X$4),""))</f>
        <v/>
      </c>
      <c r="L199" s="51" t="str">
        <f>IF(OR(L$2="",COUNT(الرصد!$C199:$Y199)=0),"",IFERROR(SUMIF(معالجة!$B$3:$X$3,L$2,الرصد!$C199:$Y199)/SUMIF(معالجة!$B$3:$X$3,L$2,معالجة!$B$4:$X$4),""))</f>
        <v/>
      </c>
      <c r="M199" s="51" t="str">
        <f>IF(OR(M$2="",COUNT(الرصد!$C199:$Y199)=0),"",IFERROR(SUMIF(معالجة!$B$3:$X$3,M$2,الرصد!$C199:$Y199)/SUMIF(معالجة!$B$3:$X$3,M$2,معالجة!$B$4:$X$4),""))</f>
        <v/>
      </c>
      <c r="N199" s="51" t="str">
        <f>IF(OR(N$2="",COUNT(الرصد!$C199:$Y199)=0),"",IFERROR(SUMIF(معالجة!$B$3:$X$3,N$2,الرصد!$C199:$Y199)/SUMIF(معالجة!$B$3:$X$3,N$2,معالجة!$B$4:$X$4),""))</f>
        <v/>
      </c>
      <c r="O199" s="51" t="str">
        <f>IF(OR(O$2="",COUNT(الرصد!$C199:$Y199)=0),"",IFERROR(SUMIF(معالجة!$B$3:$X$3,O$2,الرصد!$C199:$Y199)/SUMIF(معالجة!$B$3:$X$3,O$2,معالجة!$B$4:$X$4),""))</f>
        <v/>
      </c>
      <c r="P199" s="51" t="str">
        <f>IF(OR(P$2="",COUNT(الرصد!$C199:$Y199)=0),"",IFERROR(SUMIF(معالجة!$B$3:$X$3,P$2,الرصد!$C199:$Y199)/SUMIF(معالجة!$B$3:$X$3,P$2,معالجة!$B$4:$X$4),""))</f>
        <v/>
      </c>
      <c r="Q199" s="51" t="str">
        <f>IF(OR(Q$2="",COUNT(الرصد!$C199:$Y199)=0),"",IFERROR(SUMIF(معالجة!$B$3:$X$3,Q$2,الرصد!$C199:$Y199)/SUMIF(معالجة!$B$3:$X$3,Q$2,معالجة!$B$4:$X$4),""))</f>
        <v/>
      </c>
      <c r="R199" s="51" t="str">
        <f>IF(OR(R$2="",COUNT(الرصد!$C199:$Y199)=0),"",IFERROR(SUMIF(معالجة!$B$3:$X$3,R$2,الرصد!$C199:$Y199)/SUMIF(معالجة!$B$3:$X$3,R$2,معالجة!$B$4:$X$4),""))</f>
        <v/>
      </c>
      <c r="S199" s="51" t="str">
        <f>IF(OR(S$2="",COUNT(الرصد!$C199:$Y199)=0),"",IFERROR(SUMIF(معالجة!$B$3:$X$3,S$2,الرصد!$C199:$Y199)/SUMIF(معالجة!$B$3:$X$3,S$2,معالجة!$B$4:$X$4),""))</f>
        <v/>
      </c>
      <c r="T199" s="51" t="str">
        <f>IF(OR(T$2="",COUNT(الرصد!$C199:$Y199)=0),"",IFERROR(SUMIF(معالجة!$B$3:$X$3,T$2,الرصد!$C199:$Y199)/SUMIF(معالجة!$B$3:$X$3,T$2,معالجة!$B$4:$X$4),""))</f>
        <v/>
      </c>
      <c r="U199" s="51" t="str">
        <f>IF(OR(U$2="",COUNT(الرصد!$C199:$Y199)=0),"",IFERROR(SUMIF(معالجة!$B$3:$X$3,U$2,الرصد!$C199:$Y199)/SUMIF(معالجة!$B$3:$X$3,U$2,معالجة!$B$4:$X$4),""))</f>
        <v/>
      </c>
      <c r="V199" s="51" t="str">
        <f>IF(OR(V$2="",COUNT(الرصد!$C199:$Y199)=0),"",IFERROR(SUMIF(معالجة!$B$3:$X$3,V$2,الرصد!$C199:$Y199)/SUMIF(معالجة!$B$3:$X$3,V$2,معالجة!$B$4:$X$4),""))</f>
        <v/>
      </c>
      <c r="W199" s="51" t="str">
        <f>IFERROR(C199/المهارات!$G$27,"")</f>
        <v/>
      </c>
    </row>
    <row r="200" spans="1:23" ht="14.25" customHeight="1">
      <c r="A200" s="46" t="s">
        <v>269</v>
      </c>
      <c r="B200" s="46" t="s">
        <v>26</v>
      </c>
      <c r="C200" s="52" t="str">
        <f>IF(COUNT(الرصد!C200:Y200)=0,"",SUM(الرصد!C200:Y200))</f>
        <v/>
      </c>
      <c r="D200" s="51" t="str">
        <f>IF(OR(D$2="",COUNT(الرصد!$C200:$Y200)=0),"",IFERROR(SUMIF(معالجة!$B$3:$X$3,D$2,الرصد!$C200:$Y200)/SUMIF(معالجة!$B$3:$X$3,D$2,معالجة!$B$4:$X$4),""))</f>
        <v/>
      </c>
      <c r="E200" s="51" t="str">
        <f>IF(OR(E$2="",COUNT(الرصد!$C200:$Y200)=0),"",IFERROR(SUMIF(معالجة!$B$3:$X$3,E$2,الرصد!$C200:$Y200)/SUMIF(معالجة!$B$3:$X$3,E$2,معالجة!$B$4:$X$4),""))</f>
        <v/>
      </c>
      <c r="F200" s="51" t="str">
        <f>IF(OR(F$2="",COUNT(الرصد!$C200:$Y200)=0),"",IFERROR(SUMIF(معالجة!$B$3:$X$3,F$2,الرصد!$C200:$Y200)/SUMIF(معالجة!$B$3:$X$3,F$2,معالجة!$B$4:$X$4),""))</f>
        <v/>
      </c>
      <c r="G200" s="51" t="str">
        <f>IF(OR(G$2="",COUNT(الرصد!$C200:$Y200)=0),"",IFERROR(SUMIF(معالجة!$B$3:$X$3,G$2,الرصد!$C200:$Y200)/SUMIF(معالجة!$B$3:$X$3,G$2,معالجة!$B$4:$X$4),""))</f>
        <v/>
      </c>
      <c r="H200" s="51" t="str">
        <f>IF(OR(H$2="",COUNT(الرصد!$C200:$Y200)=0),"",IFERROR(SUMIF(معالجة!$B$3:$X$3,H$2,الرصد!$C200:$Y200)/SUMIF(معالجة!$B$3:$X$3,H$2,معالجة!$B$4:$X$4),""))</f>
        <v/>
      </c>
      <c r="I200" s="51" t="str">
        <f>IF(OR(I$2="",COUNT(الرصد!$C200:$Y200)=0),"",IFERROR(SUMIF(معالجة!$B$3:$X$3,I$2,الرصد!$C200:$Y200)/SUMIF(معالجة!$B$3:$X$3,I$2,معالجة!$B$4:$X$4),""))</f>
        <v/>
      </c>
      <c r="J200" s="51" t="str">
        <f>IF(OR(J$2="",COUNT(الرصد!$C200:$Y200)=0),"",IFERROR(SUMIF(معالجة!$B$3:$X$3,J$2,الرصد!$C200:$Y200)/SUMIF(معالجة!$B$3:$X$3,J$2,معالجة!$B$4:$X$4),""))</f>
        <v/>
      </c>
      <c r="K200" s="51" t="str">
        <f>IF(OR(K$2="",COUNT(الرصد!$C200:$Y200)=0),"",IFERROR(SUMIF(معالجة!$B$3:$X$3,K$2,الرصد!$C200:$Y200)/SUMIF(معالجة!$B$3:$X$3,K$2,معالجة!$B$4:$X$4),""))</f>
        <v/>
      </c>
      <c r="L200" s="51" t="str">
        <f>IF(OR(L$2="",COUNT(الرصد!$C200:$Y200)=0),"",IFERROR(SUMIF(معالجة!$B$3:$X$3,L$2,الرصد!$C200:$Y200)/SUMIF(معالجة!$B$3:$X$3,L$2,معالجة!$B$4:$X$4),""))</f>
        <v/>
      </c>
      <c r="M200" s="51" t="str">
        <f>IF(OR(M$2="",COUNT(الرصد!$C200:$Y200)=0),"",IFERROR(SUMIF(معالجة!$B$3:$X$3,M$2,الرصد!$C200:$Y200)/SUMIF(معالجة!$B$3:$X$3,M$2,معالجة!$B$4:$X$4),""))</f>
        <v/>
      </c>
      <c r="N200" s="51" t="str">
        <f>IF(OR(N$2="",COUNT(الرصد!$C200:$Y200)=0),"",IFERROR(SUMIF(معالجة!$B$3:$X$3,N$2,الرصد!$C200:$Y200)/SUMIF(معالجة!$B$3:$X$3,N$2,معالجة!$B$4:$X$4),""))</f>
        <v/>
      </c>
      <c r="O200" s="51" t="str">
        <f>IF(OR(O$2="",COUNT(الرصد!$C200:$Y200)=0),"",IFERROR(SUMIF(معالجة!$B$3:$X$3,O$2,الرصد!$C200:$Y200)/SUMIF(معالجة!$B$3:$X$3,O$2,معالجة!$B$4:$X$4),""))</f>
        <v/>
      </c>
      <c r="P200" s="51" t="str">
        <f>IF(OR(P$2="",COUNT(الرصد!$C200:$Y200)=0),"",IFERROR(SUMIF(معالجة!$B$3:$X$3,P$2,الرصد!$C200:$Y200)/SUMIF(معالجة!$B$3:$X$3,P$2,معالجة!$B$4:$X$4),""))</f>
        <v/>
      </c>
      <c r="Q200" s="51" t="str">
        <f>IF(OR(Q$2="",COUNT(الرصد!$C200:$Y200)=0),"",IFERROR(SUMIF(معالجة!$B$3:$X$3,Q$2,الرصد!$C200:$Y200)/SUMIF(معالجة!$B$3:$X$3,Q$2,معالجة!$B$4:$X$4),""))</f>
        <v/>
      </c>
      <c r="R200" s="51" t="str">
        <f>IF(OR(R$2="",COUNT(الرصد!$C200:$Y200)=0),"",IFERROR(SUMIF(معالجة!$B$3:$X$3,R$2,الرصد!$C200:$Y200)/SUMIF(معالجة!$B$3:$X$3,R$2,معالجة!$B$4:$X$4),""))</f>
        <v/>
      </c>
      <c r="S200" s="51" t="str">
        <f>IF(OR(S$2="",COUNT(الرصد!$C200:$Y200)=0),"",IFERROR(SUMIF(معالجة!$B$3:$X$3,S$2,الرصد!$C200:$Y200)/SUMIF(معالجة!$B$3:$X$3,S$2,معالجة!$B$4:$X$4),""))</f>
        <v/>
      </c>
      <c r="T200" s="51" t="str">
        <f>IF(OR(T$2="",COUNT(الرصد!$C200:$Y200)=0),"",IFERROR(SUMIF(معالجة!$B$3:$X$3,T$2,الرصد!$C200:$Y200)/SUMIF(معالجة!$B$3:$X$3,T$2,معالجة!$B$4:$X$4),""))</f>
        <v/>
      </c>
      <c r="U200" s="51" t="str">
        <f>IF(OR(U$2="",COUNT(الرصد!$C200:$Y200)=0),"",IFERROR(SUMIF(معالجة!$B$3:$X$3,U$2,الرصد!$C200:$Y200)/SUMIF(معالجة!$B$3:$X$3,U$2,معالجة!$B$4:$X$4),""))</f>
        <v/>
      </c>
      <c r="V200" s="51" t="str">
        <f>IF(OR(V$2="",COUNT(الرصد!$C200:$Y200)=0),"",IFERROR(SUMIF(معالجة!$B$3:$X$3,V$2,الرصد!$C200:$Y200)/SUMIF(معالجة!$B$3:$X$3,V$2,معالجة!$B$4:$X$4),""))</f>
        <v/>
      </c>
      <c r="W200" s="51" t="str">
        <f>IFERROR(C200/المهارات!$G$27,"")</f>
        <v/>
      </c>
    </row>
    <row r="201" spans="1:23" ht="14.25" customHeight="1">
      <c r="A201" s="42" t="s">
        <v>270</v>
      </c>
      <c r="B201" s="42" t="s">
        <v>26</v>
      </c>
      <c r="C201" s="50" t="str">
        <f>IF(COUNT(الرصد!C201:Y201)=0,"",SUM(الرصد!C201:Y201))</f>
        <v/>
      </c>
      <c r="D201" s="51" t="str">
        <f>IF(OR(D$2="",COUNT(الرصد!$C201:$Y201)=0),"",IFERROR(SUMIF(معالجة!$B$3:$X$3,D$2,الرصد!$C201:$Y201)/SUMIF(معالجة!$B$3:$X$3,D$2,معالجة!$B$4:$X$4),""))</f>
        <v/>
      </c>
      <c r="E201" s="51" t="str">
        <f>IF(OR(E$2="",COUNT(الرصد!$C201:$Y201)=0),"",IFERROR(SUMIF(معالجة!$B$3:$X$3,E$2,الرصد!$C201:$Y201)/SUMIF(معالجة!$B$3:$X$3,E$2,معالجة!$B$4:$X$4),""))</f>
        <v/>
      </c>
      <c r="F201" s="51" t="str">
        <f>IF(OR(F$2="",COUNT(الرصد!$C201:$Y201)=0),"",IFERROR(SUMIF(معالجة!$B$3:$X$3,F$2,الرصد!$C201:$Y201)/SUMIF(معالجة!$B$3:$X$3,F$2,معالجة!$B$4:$X$4),""))</f>
        <v/>
      </c>
      <c r="G201" s="51" t="str">
        <f>IF(OR(G$2="",COUNT(الرصد!$C201:$Y201)=0),"",IFERROR(SUMIF(معالجة!$B$3:$X$3,G$2,الرصد!$C201:$Y201)/SUMIF(معالجة!$B$3:$X$3,G$2,معالجة!$B$4:$X$4),""))</f>
        <v/>
      </c>
      <c r="H201" s="51" t="str">
        <f>IF(OR(H$2="",COUNT(الرصد!$C201:$Y201)=0),"",IFERROR(SUMIF(معالجة!$B$3:$X$3,H$2,الرصد!$C201:$Y201)/SUMIF(معالجة!$B$3:$X$3,H$2,معالجة!$B$4:$X$4),""))</f>
        <v/>
      </c>
      <c r="I201" s="51" t="str">
        <f>IF(OR(I$2="",COUNT(الرصد!$C201:$Y201)=0),"",IFERROR(SUMIF(معالجة!$B$3:$X$3,I$2,الرصد!$C201:$Y201)/SUMIF(معالجة!$B$3:$X$3,I$2,معالجة!$B$4:$X$4),""))</f>
        <v/>
      </c>
      <c r="J201" s="51" t="str">
        <f>IF(OR(J$2="",COUNT(الرصد!$C201:$Y201)=0),"",IFERROR(SUMIF(معالجة!$B$3:$X$3,J$2,الرصد!$C201:$Y201)/SUMIF(معالجة!$B$3:$X$3,J$2,معالجة!$B$4:$X$4),""))</f>
        <v/>
      </c>
      <c r="K201" s="51" t="str">
        <f>IF(OR(K$2="",COUNT(الرصد!$C201:$Y201)=0),"",IFERROR(SUMIF(معالجة!$B$3:$X$3,K$2,الرصد!$C201:$Y201)/SUMIF(معالجة!$B$3:$X$3,K$2,معالجة!$B$4:$X$4),""))</f>
        <v/>
      </c>
      <c r="L201" s="51" t="str">
        <f>IF(OR(L$2="",COUNT(الرصد!$C201:$Y201)=0),"",IFERROR(SUMIF(معالجة!$B$3:$X$3,L$2,الرصد!$C201:$Y201)/SUMIF(معالجة!$B$3:$X$3,L$2,معالجة!$B$4:$X$4),""))</f>
        <v/>
      </c>
      <c r="M201" s="51" t="str">
        <f>IF(OR(M$2="",COUNT(الرصد!$C201:$Y201)=0),"",IFERROR(SUMIF(معالجة!$B$3:$X$3,M$2,الرصد!$C201:$Y201)/SUMIF(معالجة!$B$3:$X$3,M$2,معالجة!$B$4:$X$4),""))</f>
        <v/>
      </c>
      <c r="N201" s="51" t="str">
        <f>IF(OR(N$2="",COUNT(الرصد!$C201:$Y201)=0),"",IFERROR(SUMIF(معالجة!$B$3:$X$3,N$2,الرصد!$C201:$Y201)/SUMIF(معالجة!$B$3:$X$3,N$2,معالجة!$B$4:$X$4),""))</f>
        <v/>
      </c>
      <c r="O201" s="51" t="str">
        <f>IF(OR(O$2="",COUNT(الرصد!$C201:$Y201)=0),"",IFERROR(SUMIF(معالجة!$B$3:$X$3,O$2,الرصد!$C201:$Y201)/SUMIF(معالجة!$B$3:$X$3,O$2,معالجة!$B$4:$X$4),""))</f>
        <v/>
      </c>
      <c r="P201" s="51" t="str">
        <f>IF(OR(P$2="",COUNT(الرصد!$C201:$Y201)=0),"",IFERROR(SUMIF(معالجة!$B$3:$X$3,P$2,الرصد!$C201:$Y201)/SUMIF(معالجة!$B$3:$X$3,P$2,معالجة!$B$4:$X$4),""))</f>
        <v/>
      </c>
      <c r="Q201" s="51" t="str">
        <f>IF(OR(Q$2="",COUNT(الرصد!$C201:$Y201)=0),"",IFERROR(SUMIF(معالجة!$B$3:$X$3,Q$2,الرصد!$C201:$Y201)/SUMIF(معالجة!$B$3:$X$3,Q$2,معالجة!$B$4:$X$4),""))</f>
        <v/>
      </c>
      <c r="R201" s="51" t="str">
        <f>IF(OR(R$2="",COUNT(الرصد!$C201:$Y201)=0),"",IFERROR(SUMIF(معالجة!$B$3:$X$3,R$2,الرصد!$C201:$Y201)/SUMIF(معالجة!$B$3:$X$3,R$2,معالجة!$B$4:$X$4),""))</f>
        <v/>
      </c>
      <c r="S201" s="51" t="str">
        <f>IF(OR(S$2="",COUNT(الرصد!$C201:$Y201)=0),"",IFERROR(SUMIF(معالجة!$B$3:$X$3,S$2,الرصد!$C201:$Y201)/SUMIF(معالجة!$B$3:$X$3,S$2,معالجة!$B$4:$X$4),""))</f>
        <v/>
      </c>
      <c r="T201" s="51" t="str">
        <f>IF(OR(T$2="",COUNT(الرصد!$C201:$Y201)=0),"",IFERROR(SUMIF(معالجة!$B$3:$X$3,T$2,الرصد!$C201:$Y201)/SUMIF(معالجة!$B$3:$X$3,T$2,معالجة!$B$4:$X$4),""))</f>
        <v/>
      </c>
      <c r="U201" s="51" t="str">
        <f>IF(OR(U$2="",COUNT(الرصد!$C201:$Y201)=0),"",IFERROR(SUMIF(معالجة!$B$3:$X$3,U$2,الرصد!$C201:$Y201)/SUMIF(معالجة!$B$3:$X$3,U$2,معالجة!$B$4:$X$4),""))</f>
        <v/>
      </c>
      <c r="V201" s="51" t="str">
        <f>IF(OR(V$2="",COUNT(الرصد!$C201:$Y201)=0),"",IFERROR(SUMIF(معالجة!$B$3:$X$3,V$2,الرصد!$C201:$Y201)/SUMIF(معالجة!$B$3:$X$3,V$2,معالجة!$B$4:$X$4),""))</f>
        <v/>
      </c>
      <c r="W201" s="51" t="str">
        <f>IFERROR(C201/المهارات!$G$27,"")</f>
        <v/>
      </c>
    </row>
    <row r="202" spans="1:23" ht="14.25" customHeight="1">
      <c r="A202" s="46" t="s">
        <v>271</v>
      </c>
      <c r="B202" s="46" t="s">
        <v>26</v>
      </c>
      <c r="C202" s="52" t="str">
        <f>IF(COUNT(الرصد!C202:Y202)=0,"",SUM(الرصد!C202:Y202))</f>
        <v/>
      </c>
      <c r="D202" s="51" t="str">
        <f>IF(OR(D$2="",COUNT(الرصد!$C202:$Y202)=0),"",IFERROR(SUMIF(معالجة!$B$3:$X$3,D$2,الرصد!$C202:$Y202)/SUMIF(معالجة!$B$3:$X$3,D$2,معالجة!$B$4:$X$4),""))</f>
        <v/>
      </c>
      <c r="E202" s="51" t="str">
        <f>IF(OR(E$2="",COUNT(الرصد!$C202:$Y202)=0),"",IFERROR(SUMIF(معالجة!$B$3:$X$3,E$2,الرصد!$C202:$Y202)/SUMIF(معالجة!$B$3:$X$3,E$2,معالجة!$B$4:$X$4),""))</f>
        <v/>
      </c>
      <c r="F202" s="51" t="str">
        <f>IF(OR(F$2="",COUNT(الرصد!$C202:$Y202)=0),"",IFERROR(SUMIF(معالجة!$B$3:$X$3,F$2,الرصد!$C202:$Y202)/SUMIF(معالجة!$B$3:$X$3,F$2,معالجة!$B$4:$X$4),""))</f>
        <v/>
      </c>
      <c r="G202" s="51" t="str">
        <f>IF(OR(G$2="",COUNT(الرصد!$C202:$Y202)=0),"",IFERROR(SUMIF(معالجة!$B$3:$X$3,G$2,الرصد!$C202:$Y202)/SUMIF(معالجة!$B$3:$X$3,G$2,معالجة!$B$4:$X$4),""))</f>
        <v/>
      </c>
      <c r="H202" s="51" t="str">
        <f>IF(OR(H$2="",COUNT(الرصد!$C202:$Y202)=0),"",IFERROR(SUMIF(معالجة!$B$3:$X$3,H$2,الرصد!$C202:$Y202)/SUMIF(معالجة!$B$3:$X$3,H$2,معالجة!$B$4:$X$4),""))</f>
        <v/>
      </c>
      <c r="I202" s="51" t="str">
        <f>IF(OR(I$2="",COUNT(الرصد!$C202:$Y202)=0),"",IFERROR(SUMIF(معالجة!$B$3:$X$3,I$2,الرصد!$C202:$Y202)/SUMIF(معالجة!$B$3:$X$3,I$2,معالجة!$B$4:$X$4),""))</f>
        <v/>
      </c>
      <c r="J202" s="51" t="str">
        <f>IF(OR(J$2="",COUNT(الرصد!$C202:$Y202)=0),"",IFERROR(SUMIF(معالجة!$B$3:$X$3,J$2,الرصد!$C202:$Y202)/SUMIF(معالجة!$B$3:$X$3,J$2,معالجة!$B$4:$X$4),""))</f>
        <v/>
      </c>
      <c r="K202" s="51" t="str">
        <f>IF(OR(K$2="",COUNT(الرصد!$C202:$Y202)=0),"",IFERROR(SUMIF(معالجة!$B$3:$X$3,K$2,الرصد!$C202:$Y202)/SUMIF(معالجة!$B$3:$X$3,K$2,معالجة!$B$4:$X$4),""))</f>
        <v/>
      </c>
      <c r="L202" s="51" t="str">
        <f>IF(OR(L$2="",COUNT(الرصد!$C202:$Y202)=0),"",IFERROR(SUMIF(معالجة!$B$3:$X$3,L$2,الرصد!$C202:$Y202)/SUMIF(معالجة!$B$3:$X$3,L$2,معالجة!$B$4:$X$4),""))</f>
        <v/>
      </c>
      <c r="M202" s="51" t="str">
        <f>IF(OR(M$2="",COUNT(الرصد!$C202:$Y202)=0),"",IFERROR(SUMIF(معالجة!$B$3:$X$3,M$2,الرصد!$C202:$Y202)/SUMIF(معالجة!$B$3:$X$3,M$2,معالجة!$B$4:$X$4),""))</f>
        <v/>
      </c>
      <c r="N202" s="51" t="str">
        <f>IF(OR(N$2="",COUNT(الرصد!$C202:$Y202)=0),"",IFERROR(SUMIF(معالجة!$B$3:$X$3,N$2,الرصد!$C202:$Y202)/SUMIF(معالجة!$B$3:$X$3,N$2,معالجة!$B$4:$X$4),""))</f>
        <v/>
      </c>
      <c r="O202" s="51" t="str">
        <f>IF(OR(O$2="",COUNT(الرصد!$C202:$Y202)=0),"",IFERROR(SUMIF(معالجة!$B$3:$X$3,O$2,الرصد!$C202:$Y202)/SUMIF(معالجة!$B$3:$X$3,O$2,معالجة!$B$4:$X$4),""))</f>
        <v/>
      </c>
      <c r="P202" s="51" t="str">
        <f>IF(OR(P$2="",COUNT(الرصد!$C202:$Y202)=0),"",IFERROR(SUMIF(معالجة!$B$3:$X$3,P$2,الرصد!$C202:$Y202)/SUMIF(معالجة!$B$3:$X$3,P$2,معالجة!$B$4:$X$4),""))</f>
        <v/>
      </c>
      <c r="Q202" s="51" t="str">
        <f>IF(OR(Q$2="",COUNT(الرصد!$C202:$Y202)=0),"",IFERROR(SUMIF(معالجة!$B$3:$X$3,Q$2,الرصد!$C202:$Y202)/SUMIF(معالجة!$B$3:$X$3,Q$2,معالجة!$B$4:$X$4),""))</f>
        <v/>
      </c>
      <c r="R202" s="51" t="str">
        <f>IF(OR(R$2="",COUNT(الرصد!$C202:$Y202)=0),"",IFERROR(SUMIF(معالجة!$B$3:$X$3,R$2,الرصد!$C202:$Y202)/SUMIF(معالجة!$B$3:$X$3,R$2,معالجة!$B$4:$X$4),""))</f>
        <v/>
      </c>
      <c r="S202" s="51" t="str">
        <f>IF(OR(S$2="",COUNT(الرصد!$C202:$Y202)=0),"",IFERROR(SUMIF(معالجة!$B$3:$X$3,S$2,الرصد!$C202:$Y202)/SUMIF(معالجة!$B$3:$X$3,S$2,معالجة!$B$4:$X$4),""))</f>
        <v/>
      </c>
      <c r="T202" s="51" t="str">
        <f>IF(OR(T$2="",COUNT(الرصد!$C202:$Y202)=0),"",IFERROR(SUMIF(معالجة!$B$3:$X$3,T$2,الرصد!$C202:$Y202)/SUMIF(معالجة!$B$3:$X$3,T$2,معالجة!$B$4:$X$4),""))</f>
        <v/>
      </c>
      <c r="U202" s="51" t="str">
        <f>IF(OR(U$2="",COUNT(الرصد!$C202:$Y202)=0),"",IFERROR(SUMIF(معالجة!$B$3:$X$3,U$2,الرصد!$C202:$Y202)/SUMIF(معالجة!$B$3:$X$3,U$2,معالجة!$B$4:$X$4),""))</f>
        <v/>
      </c>
      <c r="V202" s="51" t="str">
        <f>IF(OR(V$2="",COUNT(الرصد!$C202:$Y202)=0),"",IFERROR(SUMIF(معالجة!$B$3:$X$3,V$2,الرصد!$C202:$Y202)/SUMIF(معالجة!$B$3:$X$3,V$2,معالجة!$B$4:$X$4),""))</f>
        <v/>
      </c>
      <c r="W202" s="51" t="str">
        <f>IFERROR(C202/المهارات!$G$27,"")</f>
        <v/>
      </c>
    </row>
    <row r="203" spans="1:23" ht="14.25" customHeight="1">
      <c r="A203" s="42" t="s">
        <v>272</v>
      </c>
      <c r="B203" s="42" t="s">
        <v>26</v>
      </c>
      <c r="C203" s="50" t="str">
        <f>IF(COUNT(الرصد!C203:Y203)=0,"",SUM(الرصد!C203:Y203))</f>
        <v/>
      </c>
      <c r="D203" s="51" t="str">
        <f>IF(OR(D$2="",COUNT(الرصد!$C203:$Y203)=0),"",IFERROR(SUMIF(معالجة!$B$3:$X$3,D$2,الرصد!$C203:$Y203)/SUMIF(معالجة!$B$3:$X$3,D$2,معالجة!$B$4:$X$4),""))</f>
        <v/>
      </c>
      <c r="E203" s="51" t="str">
        <f>IF(OR(E$2="",COUNT(الرصد!$C203:$Y203)=0),"",IFERROR(SUMIF(معالجة!$B$3:$X$3,E$2,الرصد!$C203:$Y203)/SUMIF(معالجة!$B$3:$X$3,E$2,معالجة!$B$4:$X$4),""))</f>
        <v/>
      </c>
      <c r="F203" s="51" t="str">
        <f>IF(OR(F$2="",COUNT(الرصد!$C203:$Y203)=0),"",IFERROR(SUMIF(معالجة!$B$3:$X$3,F$2,الرصد!$C203:$Y203)/SUMIF(معالجة!$B$3:$X$3,F$2,معالجة!$B$4:$X$4),""))</f>
        <v/>
      </c>
      <c r="G203" s="51" t="str">
        <f>IF(OR(G$2="",COUNT(الرصد!$C203:$Y203)=0),"",IFERROR(SUMIF(معالجة!$B$3:$X$3,G$2,الرصد!$C203:$Y203)/SUMIF(معالجة!$B$3:$X$3,G$2,معالجة!$B$4:$X$4),""))</f>
        <v/>
      </c>
      <c r="H203" s="51" t="str">
        <f>IF(OR(H$2="",COUNT(الرصد!$C203:$Y203)=0),"",IFERROR(SUMIF(معالجة!$B$3:$X$3,H$2,الرصد!$C203:$Y203)/SUMIF(معالجة!$B$3:$X$3,H$2,معالجة!$B$4:$X$4),""))</f>
        <v/>
      </c>
      <c r="I203" s="51" t="str">
        <f>IF(OR(I$2="",COUNT(الرصد!$C203:$Y203)=0),"",IFERROR(SUMIF(معالجة!$B$3:$X$3,I$2,الرصد!$C203:$Y203)/SUMIF(معالجة!$B$3:$X$3,I$2,معالجة!$B$4:$X$4),""))</f>
        <v/>
      </c>
      <c r="J203" s="51" t="str">
        <f>IF(OR(J$2="",COUNT(الرصد!$C203:$Y203)=0),"",IFERROR(SUMIF(معالجة!$B$3:$X$3,J$2,الرصد!$C203:$Y203)/SUMIF(معالجة!$B$3:$X$3,J$2,معالجة!$B$4:$X$4),""))</f>
        <v/>
      </c>
      <c r="K203" s="51" t="str">
        <f>IF(OR(K$2="",COUNT(الرصد!$C203:$Y203)=0),"",IFERROR(SUMIF(معالجة!$B$3:$X$3,K$2,الرصد!$C203:$Y203)/SUMIF(معالجة!$B$3:$X$3,K$2,معالجة!$B$4:$X$4),""))</f>
        <v/>
      </c>
      <c r="L203" s="51" t="str">
        <f>IF(OR(L$2="",COUNT(الرصد!$C203:$Y203)=0),"",IFERROR(SUMIF(معالجة!$B$3:$X$3,L$2,الرصد!$C203:$Y203)/SUMIF(معالجة!$B$3:$X$3,L$2,معالجة!$B$4:$X$4),""))</f>
        <v/>
      </c>
      <c r="M203" s="51" t="str">
        <f>IF(OR(M$2="",COUNT(الرصد!$C203:$Y203)=0),"",IFERROR(SUMIF(معالجة!$B$3:$X$3,M$2,الرصد!$C203:$Y203)/SUMIF(معالجة!$B$3:$X$3,M$2,معالجة!$B$4:$X$4),""))</f>
        <v/>
      </c>
      <c r="N203" s="51" t="str">
        <f>IF(OR(N$2="",COUNT(الرصد!$C203:$Y203)=0),"",IFERROR(SUMIF(معالجة!$B$3:$X$3,N$2,الرصد!$C203:$Y203)/SUMIF(معالجة!$B$3:$X$3,N$2,معالجة!$B$4:$X$4),""))</f>
        <v/>
      </c>
      <c r="O203" s="51" t="str">
        <f>IF(OR(O$2="",COUNT(الرصد!$C203:$Y203)=0),"",IFERROR(SUMIF(معالجة!$B$3:$X$3,O$2,الرصد!$C203:$Y203)/SUMIF(معالجة!$B$3:$X$3,O$2,معالجة!$B$4:$X$4),""))</f>
        <v/>
      </c>
      <c r="P203" s="51" t="str">
        <f>IF(OR(P$2="",COUNT(الرصد!$C203:$Y203)=0),"",IFERROR(SUMIF(معالجة!$B$3:$X$3,P$2,الرصد!$C203:$Y203)/SUMIF(معالجة!$B$3:$X$3,P$2,معالجة!$B$4:$X$4),""))</f>
        <v/>
      </c>
      <c r="Q203" s="51" t="str">
        <f>IF(OR(Q$2="",COUNT(الرصد!$C203:$Y203)=0),"",IFERROR(SUMIF(معالجة!$B$3:$X$3,Q$2,الرصد!$C203:$Y203)/SUMIF(معالجة!$B$3:$X$3,Q$2,معالجة!$B$4:$X$4),""))</f>
        <v/>
      </c>
      <c r="R203" s="51" t="str">
        <f>IF(OR(R$2="",COUNT(الرصد!$C203:$Y203)=0),"",IFERROR(SUMIF(معالجة!$B$3:$X$3,R$2,الرصد!$C203:$Y203)/SUMIF(معالجة!$B$3:$X$3,R$2,معالجة!$B$4:$X$4),""))</f>
        <v/>
      </c>
      <c r="S203" s="51" t="str">
        <f>IF(OR(S$2="",COUNT(الرصد!$C203:$Y203)=0),"",IFERROR(SUMIF(معالجة!$B$3:$X$3,S$2,الرصد!$C203:$Y203)/SUMIF(معالجة!$B$3:$X$3,S$2,معالجة!$B$4:$X$4),""))</f>
        <v/>
      </c>
      <c r="T203" s="51" t="str">
        <f>IF(OR(T$2="",COUNT(الرصد!$C203:$Y203)=0),"",IFERROR(SUMIF(معالجة!$B$3:$X$3,T$2,الرصد!$C203:$Y203)/SUMIF(معالجة!$B$3:$X$3,T$2,معالجة!$B$4:$X$4),""))</f>
        <v/>
      </c>
      <c r="U203" s="51" t="str">
        <f>IF(OR(U$2="",COUNT(الرصد!$C203:$Y203)=0),"",IFERROR(SUMIF(معالجة!$B$3:$X$3,U$2,الرصد!$C203:$Y203)/SUMIF(معالجة!$B$3:$X$3,U$2,معالجة!$B$4:$X$4),""))</f>
        <v/>
      </c>
      <c r="V203" s="51" t="str">
        <f>IF(OR(V$2="",COUNT(الرصد!$C203:$Y203)=0),"",IFERROR(SUMIF(معالجة!$B$3:$X$3,V$2,الرصد!$C203:$Y203)/SUMIF(معالجة!$B$3:$X$3,V$2,معالجة!$B$4:$X$4),""))</f>
        <v/>
      </c>
      <c r="W203" s="51" t="str">
        <f>IFERROR(C203/المهارات!$G$27,"")</f>
        <v/>
      </c>
    </row>
    <row r="204" spans="1:23" ht="14.25" customHeight="1">
      <c r="A204" s="46" t="s">
        <v>273</v>
      </c>
      <c r="B204" s="46" t="s">
        <v>26</v>
      </c>
      <c r="C204" s="52" t="str">
        <f>IF(COUNT(الرصد!C204:Y204)=0,"",SUM(الرصد!C204:Y204))</f>
        <v/>
      </c>
      <c r="D204" s="51" t="str">
        <f>IF(OR(D$2="",COUNT(الرصد!$C204:$Y204)=0),"",IFERROR(SUMIF(معالجة!$B$3:$X$3,D$2,الرصد!$C204:$Y204)/SUMIF(معالجة!$B$3:$X$3,D$2,معالجة!$B$4:$X$4),""))</f>
        <v/>
      </c>
      <c r="E204" s="51" t="str">
        <f>IF(OR(E$2="",COUNT(الرصد!$C204:$Y204)=0),"",IFERROR(SUMIF(معالجة!$B$3:$X$3,E$2,الرصد!$C204:$Y204)/SUMIF(معالجة!$B$3:$X$3,E$2,معالجة!$B$4:$X$4),""))</f>
        <v/>
      </c>
      <c r="F204" s="51" t="str">
        <f>IF(OR(F$2="",COUNT(الرصد!$C204:$Y204)=0),"",IFERROR(SUMIF(معالجة!$B$3:$X$3,F$2,الرصد!$C204:$Y204)/SUMIF(معالجة!$B$3:$X$3,F$2,معالجة!$B$4:$X$4),""))</f>
        <v/>
      </c>
      <c r="G204" s="51" t="str">
        <f>IF(OR(G$2="",COUNT(الرصد!$C204:$Y204)=0),"",IFERROR(SUMIF(معالجة!$B$3:$X$3,G$2,الرصد!$C204:$Y204)/SUMIF(معالجة!$B$3:$X$3,G$2,معالجة!$B$4:$X$4),""))</f>
        <v/>
      </c>
      <c r="H204" s="51" t="str">
        <f>IF(OR(H$2="",COUNT(الرصد!$C204:$Y204)=0),"",IFERROR(SUMIF(معالجة!$B$3:$X$3,H$2,الرصد!$C204:$Y204)/SUMIF(معالجة!$B$3:$X$3,H$2,معالجة!$B$4:$X$4),""))</f>
        <v/>
      </c>
      <c r="I204" s="51" t="str">
        <f>IF(OR(I$2="",COUNT(الرصد!$C204:$Y204)=0),"",IFERROR(SUMIF(معالجة!$B$3:$X$3,I$2,الرصد!$C204:$Y204)/SUMIF(معالجة!$B$3:$X$3,I$2,معالجة!$B$4:$X$4),""))</f>
        <v/>
      </c>
      <c r="J204" s="51" t="str">
        <f>IF(OR(J$2="",COUNT(الرصد!$C204:$Y204)=0),"",IFERROR(SUMIF(معالجة!$B$3:$X$3,J$2,الرصد!$C204:$Y204)/SUMIF(معالجة!$B$3:$X$3,J$2,معالجة!$B$4:$X$4),""))</f>
        <v/>
      </c>
      <c r="K204" s="51" t="str">
        <f>IF(OR(K$2="",COUNT(الرصد!$C204:$Y204)=0),"",IFERROR(SUMIF(معالجة!$B$3:$X$3,K$2,الرصد!$C204:$Y204)/SUMIF(معالجة!$B$3:$X$3,K$2,معالجة!$B$4:$X$4),""))</f>
        <v/>
      </c>
      <c r="L204" s="51" t="str">
        <f>IF(OR(L$2="",COUNT(الرصد!$C204:$Y204)=0),"",IFERROR(SUMIF(معالجة!$B$3:$X$3,L$2,الرصد!$C204:$Y204)/SUMIF(معالجة!$B$3:$X$3,L$2,معالجة!$B$4:$X$4),""))</f>
        <v/>
      </c>
      <c r="M204" s="51" t="str">
        <f>IF(OR(M$2="",COUNT(الرصد!$C204:$Y204)=0),"",IFERROR(SUMIF(معالجة!$B$3:$X$3,M$2,الرصد!$C204:$Y204)/SUMIF(معالجة!$B$3:$X$3,M$2,معالجة!$B$4:$X$4),""))</f>
        <v/>
      </c>
      <c r="N204" s="51" t="str">
        <f>IF(OR(N$2="",COUNT(الرصد!$C204:$Y204)=0),"",IFERROR(SUMIF(معالجة!$B$3:$X$3,N$2,الرصد!$C204:$Y204)/SUMIF(معالجة!$B$3:$X$3,N$2,معالجة!$B$4:$X$4),""))</f>
        <v/>
      </c>
      <c r="O204" s="51" t="str">
        <f>IF(OR(O$2="",COUNT(الرصد!$C204:$Y204)=0),"",IFERROR(SUMIF(معالجة!$B$3:$X$3,O$2,الرصد!$C204:$Y204)/SUMIF(معالجة!$B$3:$X$3,O$2,معالجة!$B$4:$X$4),""))</f>
        <v/>
      </c>
      <c r="P204" s="51" t="str">
        <f>IF(OR(P$2="",COUNT(الرصد!$C204:$Y204)=0),"",IFERROR(SUMIF(معالجة!$B$3:$X$3,P$2,الرصد!$C204:$Y204)/SUMIF(معالجة!$B$3:$X$3,P$2,معالجة!$B$4:$X$4),""))</f>
        <v/>
      </c>
      <c r="Q204" s="51" t="str">
        <f>IF(OR(Q$2="",COUNT(الرصد!$C204:$Y204)=0),"",IFERROR(SUMIF(معالجة!$B$3:$X$3,Q$2,الرصد!$C204:$Y204)/SUMIF(معالجة!$B$3:$X$3,Q$2,معالجة!$B$4:$X$4),""))</f>
        <v/>
      </c>
      <c r="R204" s="51" t="str">
        <f>IF(OR(R$2="",COUNT(الرصد!$C204:$Y204)=0),"",IFERROR(SUMIF(معالجة!$B$3:$X$3,R$2,الرصد!$C204:$Y204)/SUMIF(معالجة!$B$3:$X$3,R$2,معالجة!$B$4:$X$4),""))</f>
        <v/>
      </c>
      <c r="S204" s="51" t="str">
        <f>IF(OR(S$2="",COUNT(الرصد!$C204:$Y204)=0),"",IFERROR(SUMIF(معالجة!$B$3:$X$3,S$2,الرصد!$C204:$Y204)/SUMIF(معالجة!$B$3:$X$3,S$2,معالجة!$B$4:$X$4),""))</f>
        <v/>
      </c>
      <c r="T204" s="51" t="str">
        <f>IF(OR(T$2="",COUNT(الرصد!$C204:$Y204)=0),"",IFERROR(SUMIF(معالجة!$B$3:$X$3,T$2,الرصد!$C204:$Y204)/SUMIF(معالجة!$B$3:$X$3,T$2,معالجة!$B$4:$X$4),""))</f>
        <v/>
      </c>
      <c r="U204" s="51" t="str">
        <f>IF(OR(U$2="",COUNT(الرصد!$C204:$Y204)=0),"",IFERROR(SUMIF(معالجة!$B$3:$X$3,U$2,الرصد!$C204:$Y204)/SUMIF(معالجة!$B$3:$X$3,U$2,معالجة!$B$4:$X$4),""))</f>
        <v/>
      </c>
      <c r="V204" s="51" t="str">
        <f>IF(OR(V$2="",COUNT(الرصد!$C204:$Y204)=0),"",IFERROR(SUMIF(معالجة!$B$3:$X$3,V$2,الرصد!$C204:$Y204)/SUMIF(معالجة!$B$3:$X$3,V$2,معالجة!$B$4:$X$4),""))</f>
        <v/>
      </c>
      <c r="W204" s="51" t="str">
        <f>IFERROR(C204/المهارات!$G$27,"")</f>
        <v/>
      </c>
    </row>
    <row r="205" spans="1:23" ht="14.25" customHeight="1">
      <c r="A205" s="42" t="s">
        <v>274</v>
      </c>
      <c r="B205" s="42" t="s">
        <v>26</v>
      </c>
      <c r="C205" s="50" t="str">
        <f>IF(COUNT(الرصد!C205:Y205)=0,"",SUM(الرصد!C205:Y205))</f>
        <v/>
      </c>
      <c r="D205" s="51" t="str">
        <f>IF(OR(D$2="",COUNT(الرصد!$C205:$Y205)=0),"",IFERROR(SUMIF(معالجة!$B$3:$X$3,D$2,الرصد!$C205:$Y205)/SUMIF(معالجة!$B$3:$X$3,D$2,معالجة!$B$4:$X$4),""))</f>
        <v/>
      </c>
      <c r="E205" s="51" t="str">
        <f>IF(OR(E$2="",COUNT(الرصد!$C205:$Y205)=0),"",IFERROR(SUMIF(معالجة!$B$3:$X$3,E$2,الرصد!$C205:$Y205)/SUMIF(معالجة!$B$3:$X$3,E$2,معالجة!$B$4:$X$4),""))</f>
        <v/>
      </c>
      <c r="F205" s="51" t="str">
        <f>IF(OR(F$2="",COUNT(الرصد!$C205:$Y205)=0),"",IFERROR(SUMIF(معالجة!$B$3:$X$3,F$2,الرصد!$C205:$Y205)/SUMIF(معالجة!$B$3:$X$3,F$2,معالجة!$B$4:$X$4),""))</f>
        <v/>
      </c>
      <c r="G205" s="51" t="str">
        <f>IF(OR(G$2="",COUNT(الرصد!$C205:$Y205)=0),"",IFERROR(SUMIF(معالجة!$B$3:$X$3,G$2,الرصد!$C205:$Y205)/SUMIF(معالجة!$B$3:$X$3,G$2,معالجة!$B$4:$X$4),""))</f>
        <v/>
      </c>
      <c r="H205" s="51" t="str">
        <f>IF(OR(H$2="",COUNT(الرصد!$C205:$Y205)=0),"",IFERROR(SUMIF(معالجة!$B$3:$X$3,H$2,الرصد!$C205:$Y205)/SUMIF(معالجة!$B$3:$X$3,H$2,معالجة!$B$4:$X$4),""))</f>
        <v/>
      </c>
      <c r="I205" s="51" t="str">
        <f>IF(OR(I$2="",COUNT(الرصد!$C205:$Y205)=0),"",IFERROR(SUMIF(معالجة!$B$3:$X$3,I$2,الرصد!$C205:$Y205)/SUMIF(معالجة!$B$3:$X$3,I$2,معالجة!$B$4:$X$4),""))</f>
        <v/>
      </c>
      <c r="J205" s="51" t="str">
        <f>IF(OR(J$2="",COUNT(الرصد!$C205:$Y205)=0),"",IFERROR(SUMIF(معالجة!$B$3:$X$3,J$2,الرصد!$C205:$Y205)/SUMIF(معالجة!$B$3:$X$3,J$2,معالجة!$B$4:$X$4),""))</f>
        <v/>
      </c>
      <c r="K205" s="51" t="str">
        <f>IF(OR(K$2="",COUNT(الرصد!$C205:$Y205)=0),"",IFERROR(SUMIF(معالجة!$B$3:$X$3,K$2,الرصد!$C205:$Y205)/SUMIF(معالجة!$B$3:$X$3,K$2,معالجة!$B$4:$X$4),""))</f>
        <v/>
      </c>
      <c r="L205" s="51" t="str">
        <f>IF(OR(L$2="",COUNT(الرصد!$C205:$Y205)=0),"",IFERROR(SUMIF(معالجة!$B$3:$X$3,L$2,الرصد!$C205:$Y205)/SUMIF(معالجة!$B$3:$X$3,L$2,معالجة!$B$4:$X$4),""))</f>
        <v/>
      </c>
      <c r="M205" s="51" t="str">
        <f>IF(OR(M$2="",COUNT(الرصد!$C205:$Y205)=0),"",IFERROR(SUMIF(معالجة!$B$3:$X$3,M$2,الرصد!$C205:$Y205)/SUMIF(معالجة!$B$3:$X$3,M$2,معالجة!$B$4:$X$4),""))</f>
        <v/>
      </c>
      <c r="N205" s="51" t="str">
        <f>IF(OR(N$2="",COUNT(الرصد!$C205:$Y205)=0),"",IFERROR(SUMIF(معالجة!$B$3:$X$3,N$2,الرصد!$C205:$Y205)/SUMIF(معالجة!$B$3:$X$3,N$2,معالجة!$B$4:$X$4),""))</f>
        <v/>
      </c>
      <c r="O205" s="51" t="str">
        <f>IF(OR(O$2="",COUNT(الرصد!$C205:$Y205)=0),"",IFERROR(SUMIF(معالجة!$B$3:$X$3,O$2,الرصد!$C205:$Y205)/SUMIF(معالجة!$B$3:$X$3,O$2,معالجة!$B$4:$X$4),""))</f>
        <v/>
      </c>
      <c r="P205" s="51" t="str">
        <f>IF(OR(P$2="",COUNT(الرصد!$C205:$Y205)=0),"",IFERROR(SUMIF(معالجة!$B$3:$X$3,P$2,الرصد!$C205:$Y205)/SUMIF(معالجة!$B$3:$X$3,P$2,معالجة!$B$4:$X$4),""))</f>
        <v/>
      </c>
      <c r="Q205" s="51" t="str">
        <f>IF(OR(Q$2="",COUNT(الرصد!$C205:$Y205)=0),"",IFERROR(SUMIF(معالجة!$B$3:$X$3,Q$2,الرصد!$C205:$Y205)/SUMIF(معالجة!$B$3:$X$3,Q$2,معالجة!$B$4:$X$4),""))</f>
        <v/>
      </c>
      <c r="R205" s="51" t="str">
        <f>IF(OR(R$2="",COUNT(الرصد!$C205:$Y205)=0),"",IFERROR(SUMIF(معالجة!$B$3:$X$3,R$2,الرصد!$C205:$Y205)/SUMIF(معالجة!$B$3:$X$3,R$2,معالجة!$B$4:$X$4),""))</f>
        <v/>
      </c>
      <c r="S205" s="51" t="str">
        <f>IF(OR(S$2="",COUNT(الرصد!$C205:$Y205)=0),"",IFERROR(SUMIF(معالجة!$B$3:$X$3,S$2,الرصد!$C205:$Y205)/SUMIF(معالجة!$B$3:$X$3,S$2,معالجة!$B$4:$X$4),""))</f>
        <v/>
      </c>
      <c r="T205" s="51" t="str">
        <f>IF(OR(T$2="",COUNT(الرصد!$C205:$Y205)=0),"",IFERROR(SUMIF(معالجة!$B$3:$X$3,T$2,الرصد!$C205:$Y205)/SUMIF(معالجة!$B$3:$X$3,T$2,معالجة!$B$4:$X$4),""))</f>
        <v/>
      </c>
      <c r="U205" s="51" t="str">
        <f>IF(OR(U$2="",COUNT(الرصد!$C205:$Y205)=0),"",IFERROR(SUMIF(معالجة!$B$3:$X$3,U$2,الرصد!$C205:$Y205)/SUMIF(معالجة!$B$3:$X$3,U$2,معالجة!$B$4:$X$4),""))</f>
        <v/>
      </c>
      <c r="V205" s="51" t="str">
        <f>IF(OR(V$2="",COUNT(الرصد!$C205:$Y205)=0),"",IFERROR(SUMIF(معالجة!$B$3:$X$3,V$2,الرصد!$C205:$Y205)/SUMIF(معالجة!$B$3:$X$3,V$2,معالجة!$B$4:$X$4),""))</f>
        <v/>
      </c>
      <c r="W205" s="51" t="str">
        <f>IFERROR(C205/المهارات!$G$27,"")</f>
        <v/>
      </c>
    </row>
    <row r="206" spans="1:23" ht="14.25" customHeight="1">
      <c r="A206" s="46" t="s">
        <v>275</v>
      </c>
      <c r="B206" s="46" t="s">
        <v>26</v>
      </c>
      <c r="C206" s="52" t="str">
        <f>IF(COUNT(الرصد!C206:Y206)=0,"",SUM(الرصد!C206:Y206))</f>
        <v/>
      </c>
      <c r="D206" s="51" t="str">
        <f>IF(OR(D$2="",COUNT(الرصد!$C206:$Y206)=0),"",IFERROR(SUMIF(معالجة!$B$3:$X$3,D$2,الرصد!$C206:$Y206)/SUMIF(معالجة!$B$3:$X$3,D$2,معالجة!$B$4:$X$4),""))</f>
        <v/>
      </c>
      <c r="E206" s="51" t="str">
        <f>IF(OR(E$2="",COUNT(الرصد!$C206:$Y206)=0),"",IFERROR(SUMIF(معالجة!$B$3:$X$3,E$2,الرصد!$C206:$Y206)/SUMIF(معالجة!$B$3:$X$3,E$2,معالجة!$B$4:$X$4),""))</f>
        <v/>
      </c>
      <c r="F206" s="51" t="str">
        <f>IF(OR(F$2="",COUNT(الرصد!$C206:$Y206)=0),"",IFERROR(SUMIF(معالجة!$B$3:$X$3,F$2,الرصد!$C206:$Y206)/SUMIF(معالجة!$B$3:$X$3,F$2,معالجة!$B$4:$X$4),""))</f>
        <v/>
      </c>
      <c r="G206" s="51" t="str">
        <f>IF(OR(G$2="",COUNT(الرصد!$C206:$Y206)=0),"",IFERROR(SUMIF(معالجة!$B$3:$X$3,G$2,الرصد!$C206:$Y206)/SUMIF(معالجة!$B$3:$X$3,G$2,معالجة!$B$4:$X$4),""))</f>
        <v/>
      </c>
      <c r="H206" s="51" t="str">
        <f>IF(OR(H$2="",COUNT(الرصد!$C206:$Y206)=0),"",IFERROR(SUMIF(معالجة!$B$3:$X$3,H$2,الرصد!$C206:$Y206)/SUMIF(معالجة!$B$3:$X$3,H$2,معالجة!$B$4:$X$4),""))</f>
        <v/>
      </c>
      <c r="I206" s="51" t="str">
        <f>IF(OR(I$2="",COUNT(الرصد!$C206:$Y206)=0),"",IFERROR(SUMIF(معالجة!$B$3:$X$3,I$2,الرصد!$C206:$Y206)/SUMIF(معالجة!$B$3:$X$3,I$2,معالجة!$B$4:$X$4),""))</f>
        <v/>
      </c>
      <c r="J206" s="51" t="str">
        <f>IF(OR(J$2="",COUNT(الرصد!$C206:$Y206)=0),"",IFERROR(SUMIF(معالجة!$B$3:$X$3,J$2,الرصد!$C206:$Y206)/SUMIF(معالجة!$B$3:$X$3,J$2,معالجة!$B$4:$X$4),""))</f>
        <v/>
      </c>
      <c r="K206" s="51" t="str">
        <f>IF(OR(K$2="",COUNT(الرصد!$C206:$Y206)=0),"",IFERROR(SUMIF(معالجة!$B$3:$X$3,K$2,الرصد!$C206:$Y206)/SUMIF(معالجة!$B$3:$X$3,K$2,معالجة!$B$4:$X$4),""))</f>
        <v/>
      </c>
      <c r="L206" s="51" t="str">
        <f>IF(OR(L$2="",COUNT(الرصد!$C206:$Y206)=0),"",IFERROR(SUMIF(معالجة!$B$3:$X$3,L$2,الرصد!$C206:$Y206)/SUMIF(معالجة!$B$3:$X$3,L$2,معالجة!$B$4:$X$4),""))</f>
        <v/>
      </c>
      <c r="M206" s="51" t="str">
        <f>IF(OR(M$2="",COUNT(الرصد!$C206:$Y206)=0),"",IFERROR(SUMIF(معالجة!$B$3:$X$3,M$2,الرصد!$C206:$Y206)/SUMIF(معالجة!$B$3:$X$3,M$2,معالجة!$B$4:$X$4),""))</f>
        <v/>
      </c>
      <c r="N206" s="51" t="str">
        <f>IF(OR(N$2="",COUNT(الرصد!$C206:$Y206)=0),"",IFERROR(SUMIF(معالجة!$B$3:$X$3,N$2,الرصد!$C206:$Y206)/SUMIF(معالجة!$B$3:$X$3,N$2,معالجة!$B$4:$X$4),""))</f>
        <v/>
      </c>
      <c r="O206" s="51" t="str">
        <f>IF(OR(O$2="",COUNT(الرصد!$C206:$Y206)=0),"",IFERROR(SUMIF(معالجة!$B$3:$X$3,O$2,الرصد!$C206:$Y206)/SUMIF(معالجة!$B$3:$X$3,O$2,معالجة!$B$4:$X$4),""))</f>
        <v/>
      </c>
      <c r="P206" s="51" t="str">
        <f>IF(OR(P$2="",COUNT(الرصد!$C206:$Y206)=0),"",IFERROR(SUMIF(معالجة!$B$3:$X$3,P$2,الرصد!$C206:$Y206)/SUMIF(معالجة!$B$3:$X$3,P$2,معالجة!$B$4:$X$4),""))</f>
        <v/>
      </c>
      <c r="Q206" s="51" t="str">
        <f>IF(OR(Q$2="",COUNT(الرصد!$C206:$Y206)=0),"",IFERROR(SUMIF(معالجة!$B$3:$X$3,Q$2,الرصد!$C206:$Y206)/SUMIF(معالجة!$B$3:$X$3,Q$2,معالجة!$B$4:$X$4),""))</f>
        <v/>
      </c>
      <c r="R206" s="51" t="str">
        <f>IF(OR(R$2="",COUNT(الرصد!$C206:$Y206)=0),"",IFERROR(SUMIF(معالجة!$B$3:$X$3,R$2,الرصد!$C206:$Y206)/SUMIF(معالجة!$B$3:$X$3,R$2,معالجة!$B$4:$X$4),""))</f>
        <v/>
      </c>
      <c r="S206" s="51" t="str">
        <f>IF(OR(S$2="",COUNT(الرصد!$C206:$Y206)=0),"",IFERROR(SUMIF(معالجة!$B$3:$X$3,S$2,الرصد!$C206:$Y206)/SUMIF(معالجة!$B$3:$X$3,S$2,معالجة!$B$4:$X$4),""))</f>
        <v/>
      </c>
      <c r="T206" s="51" t="str">
        <f>IF(OR(T$2="",COUNT(الرصد!$C206:$Y206)=0),"",IFERROR(SUMIF(معالجة!$B$3:$X$3,T$2,الرصد!$C206:$Y206)/SUMIF(معالجة!$B$3:$X$3,T$2,معالجة!$B$4:$X$4),""))</f>
        <v/>
      </c>
      <c r="U206" s="51" t="str">
        <f>IF(OR(U$2="",COUNT(الرصد!$C206:$Y206)=0),"",IFERROR(SUMIF(معالجة!$B$3:$X$3,U$2,الرصد!$C206:$Y206)/SUMIF(معالجة!$B$3:$X$3,U$2,معالجة!$B$4:$X$4),""))</f>
        <v/>
      </c>
      <c r="V206" s="51" t="str">
        <f>IF(OR(V$2="",COUNT(الرصد!$C206:$Y206)=0),"",IFERROR(SUMIF(معالجة!$B$3:$X$3,V$2,الرصد!$C206:$Y206)/SUMIF(معالجة!$B$3:$X$3,V$2,معالجة!$B$4:$X$4),""))</f>
        <v/>
      </c>
      <c r="W206" s="51" t="str">
        <f>IFERROR(C206/المهارات!$G$27,"")</f>
        <v/>
      </c>
    </row>
    <row r="207" spans="1:23" ht="14.25" customHeight="1">
      <c r="A207" s="42" t="s">
        <v>276</v>
      </c>
      <c r="B207" s="42" t="s">
        <v>26</v>
      </c>
      <c r="C207" s="50" t="str">
        <f>IF(COUNT(الرصد!C207:Y207)=0,"",SUM(الرصد!C207:Y207))</f>
        <v/>
      </c>
      <c r="D207" s="51" t="str">
        <f>IF(OR(D$2="",COUNT(الرصد!$C207:$Y207)=0),"",IFERROR(SUMIF(معالجة!$B$3:$X$3,D$2,الرصد!$C207:$Y207)/SUMIF(معالجة!$B$3:$X$3,D$2,معالجة!$B$4:$X$4),""))</f>
        <v/>
      </c>
      <c r="E207" s="51" t="str">
        <f>IF(OR(E$2="",COUNT(الرصد!$C207:$Y207)=0),"",IFERROR(SUMIF(معالجة!$B$3:$X$3,E$2,الرصد!$C207:$Y207)/SUMIF(معالجة!$B$3:$X$3,E$2,معالجة!$B$4:$X$4),""))</f>
        <v/>
      </c>
      <c r="F207" s="51" t="str">
        <f>IF(OR(F$2="",COUNT(الرصد!$C207:$Y207)=0),"",IFERROR(SUMIF(معالجة!$B$3:$X$3,F$2,الرصد!$C207:$Y207)/SUMIF(معالجة!$B$3:$X$3,F$2,معالجة!$B$4:$X$4),""))</f>
        <v/>
      </c>
      <c r="G207" s="51" t="str">
        <f>IF(OR(G$2="",COUNT(الرصد!$C207:$Y207)=0),"",IFERROR(SUMIF(معالجة!$B$3:$X$3,G$2,الرصد!$C207:$Y207)/SUMIF(معالجة!$B$3:$X$3,G$2,معالجة!$B$4:$X$4),""))</f>
        <v/>
      </c>
      <c r="H207" s="51" t="str">
        <f>IF(OR(H$2="",COUNT(الرصد!$C207:$Y207)=0),"",IFERROR(SUMIF(معالجة!$B$3:$X$3,H$2,الرصد!$C207:$Y207)/SUMIF(معالجة!$B$3:$X$3,H$2,معالجة!$B$4:$X$4),""))</f>
        <v/>
      </c>
      <c r="I207" s="51" t="str">
        <f>IF(OR(I$2="",COUNT(الرصد!$C207:$Y207)=0),"",IFERROR(SUMIF(معالجة!$B$3:$X$3,I$2,الرصد!$C207:$Y207)/SUMIF(معالجة!$B$3:$X$3,I$2,معالجة!$B$4:$X$4),""))</f>
        <v/>
      </c>
      <c r="J207" s="51" t="str">
        <f>IF(OR(J$2="",COUNT(الرصد!$C207:$Y207)=0),"",IFERROR(SUMIF(معالجة!$B$3:$X$3,J$2,الرصد!$C207:$Y207)/SUMIF(معالجة!$B$3:$X$3,J$2,معالجة!$B$4:$X$4),""))</f>
        <v/>
      </c>
      <c r="K207" s="51" t="str">
        <f>IF(OR(K$2="",COUNT(الرصد!$C207:$Y207)=0),"",IFERROR(SUMIF(معالجة!$B$3:$X$3,K$2,الرصد!$C207:$Y207)/SUMIF(معالجة!$B$3:$X$3,K$2,معالجة!$B$4:$X$4),""))</f>
        <v/>
      </c>
      <c r="L207" s="51" t="str">
        <f>IF(OR(L$2="",COUNT(الرصد!$C207:$Y207)=0),"",IFERROR(SUMIF(معالجة!$B$3:$X$3,L$2,الرصد!$C207:$Y207)/SUMIF(معالجة!$B$3:$X$3,L$2,معالجة!$B$4:$X$4),""))</f>
        <v/>
      </c>
      <c r="M207" s="51" t="str">
        <f>IF(OR(M$2="",COUNT(الرصد!$C207:$Y207)=0),"",IFERROR(SUMIF(معالجة!$B$3:$X$3,M$2,الرصد!$C207:$Y207)/SUMIF(معالجة!$B$3:$X$3,M$2,معالجة!$B$4:$X$4),""))</f>
        <v/>
      </c>
      <c r="N207" s="51" t="str">
        <f>IF(OR(N$2="",COUNT(الرصد!$C207:$Y207)=0),"",IFERROR(SUMIF(معالجة!$B$3:$X$3,N$2,الرصد!$C207:$Y207)/SUMIF(معالجة!$B$3:$X$3,N$2,معالجة!$B$4:$X$4),""))</f>
        <v/>
      </c>
      <c r="O207" s="51" t="str">
        <f>IF(OR(O$2="",COUNT(الرصد!$C207:$Y207)=0),"",IFERROR(SUMIF(معالجة!$B$3:$X$3,O$2,الرصد!$C207:$Y207)/SUMIF(معالجة!$B$3:$X$3,O$2,معالجة!$B$4:$X$4),""))</f>
        <v/>
      </c>
      <c r="P207" s="51" t="str">
        <f>IF(OR(P$2="",COUNT(الرصد!$C207:$Y207)=0),"",IFERROR(SUMIF(معالجة!$B$3:$X$3,P$2,الرصد!$C207:$Y207)/SUMIF(معالجة!$B$3:$X$3,P$2,معالجة!$B$4:$X$4),""))</f>
        <v/>
      </c>
      <c r="Q207" s="51" t="str">
        <f>IF(OR(Q$2="",COUNT(الرصد!$C207:$Y207)=0),"",IFERROR(SUMIF(معالجة!$B$3:$X$3,Q$2,الرصد!$C207:$Y207)/SUMIF(معالجة!$B$3:$X$3,Q$2,معالجة!$B$4:$X$4),""))</f>
        <v/>
      </c>
      <c r="R207" s="51" t="str">
        <f>IF(OR(R$2="",COUNT(الرصد!$C207:$Y207)=0),"",IFERROR(SUMIF(معالجة!$B$3:$X$3,R$2,الرصد!$C207:$Y207)/SUMIF(معالجة!$B$3:$X$3,R$2,معالجة!$B$4:$X$4),""))</f>
        <v/>
      </c>
      <c r="S207" s="51" t="str">
        <f>IF(OR(S$2="",COUNT(الرصد!$C207:$Y207)=0),"",IFERROR(SUMIF(معالجة!$B$3:$X$3,S$2,الرصد!$C207:$Y207)/SUMIF(معالجة!$B$3:$X$3,S$2,معالجة!$B$4:$X$4),""))</f>
        <v/>
      </c>
      <c r="T207" s="51" t="str">
        <f>IF(OR(T$2="",COUNT(الرصد!$C207:$Y207)=0),"",IFERROR(SUMIF(معالجة!$B$3:$X$3,T$2,الرصد!$C207:$Y207)/SUMIF(معالجة!$B$3:$X$3,T$2,معالجة!$B$4:$X$4),""))</f>
        <v/>
      </c>
      <c r="U207" s="51" t="str">
        <f>IF(OR(U$2="",COUNT(الرصد!$C207:$Y207)=0),"",IFERROR(SUMIF(معالجة!$B$3:$X$3,U$2,الرصد!$C207:$Y207)/SUMIF(معالجة!$B$3:$X$3,U$2,معالجة!$B$4:$X$4),""))</f>
        <v/>
      </c>
      <c r="V207" s="51" t="str">
        <f>IF(OR(V$2="",COUNT(الرصد!$C207:$Y207)=0),"",IFERROR(SUMIF(معالجة!$B$3:$X$3,V$2,الرصد!$C207:$Y207)/SUMIF(معالجة!$B$3:$X$3,V$2,معالجة!$B$4:$X$4),""))</f>
        <v/>
      </c>
      <c r="W207" s="51" t="str">
        <f>IFERROR(C207/المهارات!$G$27,"")</f>
        <v/>
      </c>
    </row>
    <row r="208" spans="1:23" ht="14.25" customHeight="1">
      <c r="A208" s="46" t="s">
        <v>277</v>
      </c>
      <c r="B208" s="46" t="s">
        <v>26</v>
      </c>
      <c r="C208" s="52" t="str">
        <f>IF(COUNT(الرصد!C208:Y208)=0,"",SUM(الرصد!C208:Y208))</f>
        <v/>
      </c>
      <c r="D208" s="51" t="str">
        <f>IF(OR(D$2="",COUNT(الرصد!$C208:$Y208)=0),"",IFERROR(SUMIF(معالجة!$B$3:$X$3,D$2,الرصد!$C208:$Y208)/SUMIF(معالجة!$B$3:$X$3,D$2,معالجة!$B$4:$X$4),""))</f>
        <v/>
      </c>
      <c r="E208" s="51" t="str">
        <f>IF(OR(E$2="",COUNT(الرصد!$C208:$Y208)=0),"",IFERROR(SUMIF(معالجة!$B$3:$X$3,E$2,الرصد!$C208:$Y208)/SUMIF(معالجة!$B$3:$X$3,E$2,معالجة!$B$4:$X$4),""))</f>
        <v/>
      </c>
      <c r="F208" s="51" t="str">
        <f>IF(OR(F$2="",COUNT(الرصد!$C208:$Y208)=0),"",IFERROR(SUMIF(معالجة!$B$3:$X$3,F$2,الرصد!$C208:$Y208)/SUMIF(معالجة!$B$3:$X$3,F$2,معالجة!$B$4:$X$4),""))</f>
        <v/>
      </c>
      <c r="G208" s="51" t="str">
        <f>IF(OR(G$2="",COUNT(الرصد!$C208:$Y208)=0),"",IFERROR(SUMIF(معالجة!$B$3:$X$3,G$2,الرصد!$C208:$Y208)/SUMIF(معالجة!$B$3:$X$3,G$2,معالجة!$B$4:$X$4),""))</f>
        <v/>
      </c>
      <c r="H208" s="51" t="str">
        <f>IF(OR(H$2="",COUNT(الرصد!$C208:$Y208)=0),"",IFERROR(SUMIF(معالجة!$B$3:$X$3,H$2,الرصد!$C208:$Y208)/SUMIF(معالجة!$B$3:$X$3,H$2,معالجة!$B$4:$X$4),""))</f>
        <v/>
      </c>
      <c r="I208" s="51" t="str">
        <f>IF(OR(I$2="",COUNT(الرصد!$C208:$Y208)=0),"",IFERROR(SUMIF(معالجة!$B$3:$X$3,I$2,الرصد!$C208:$Y208)/SUMIF(معالجة!$B$3:$X$3,I$2,معالجة!$B$4:$X$4),""))</f>
        <v/>
      </c>
      <c r="J208" s="51" t="str">
        <f>IF(OR(J$2="",COUNT(الرصد!$C208:$Y208)=0),"",IFERROR(SUMIF(معالجة!$B$3:$X$3,J$2,الرصد!$C208:$Y208)/SUMIF(معالجة!$B$3:$X$3,J$2,معالجة!$B$4:$X$4),""))</f>
        <v/>
      </c>
      <c r="K208" s="51" t="str">
        <f>IF(OR(K$2="",COUNT(الرصد!$C208:$Y208)=0),"",IFERROR(SUMIF(معالجة!$B$3:$X$3,K$2,الرصد!$C208:$Y208)/SUMIF(معالجة!$B$3:$X$3,K$2,معالجة!$B$4:$X$4),""))</f>
        <v/>
      </c>
      <c r="L208" s="51" t="str">
        <f>IF(OR(L$2="",COUNT(الرصد!$C208:$Y208)=0),"",IFERROR(SUMIF(معالجة!$B$3:$X$3,L$2,الرصد!$C208:$Y208)/SUMIF(معالجة!$B$3:$X$3,L$2,معالجة!$B$4:$X$4),""))</f>
        <v/>
      </c>
      <c r="M208" s="51" t="str">
        <f>IF(OR(M$2="",COUNT(الرصد!$C208:$Y208)=0),"",IFERROR(SUMIF(معالجة!$B$3:$X$3,M$2,الرصد!$C208:$Y208)/SUMIF(معالجة!$B$3:$X$3,M$2,معالجة!$B$4:$X$4),""))</f>
        <v/>
      </c>
      <c r="N208" s="51" t="str">
        <f>IF(OR(N$2="",COUNT(الرصد!$C208:$Y208)=0),"",IFERROR(SUMIF(معالجة!$B$3:$X$3,N$2,الرصد!$C208:$Y208)/SUMIF(معالجة!$B$3:$X$3,N$2,معالجة!$B$4:$X$4),""))</f>
        <v/>
      </c>
      <c r="O208" s="51" t="str">
        <f>IF(OR(O$2="",COUNT(الرصد!$C208:$Y208)=0),"",IFERROR(SUMIF(معالجة!$B$3:$X$3,O$2,الرصد!$C208:$Y208)/SUMIF(معالجة!$B$3:$X$3,O$2,معالجة!$B$4:$X$4),""))</f>
        <v/>
      </c>
      <c r="P208" s="51" t="str">
        <f>IF(OR(P$2="",COUNT(الرصد!$C208:$Y208)=0),"",IFERROR(SUMIF(معالجة!$B$3:$X$3,P$2,الرصد!$C208:$Y208)/SUMIF(معالجة!$B$3:$X$3,P$2,معالجة!$B$4:$X$4),""))</f>
        <v/>
      </c>
      <c r="Q208" s="51" t="str">
        <f>IF(OR(Q$2="",COUNT(الرصد!$C208:$Y208)=0),"",IFERROR(SUMIF(معالجة!$B$3:$X$3,Q$2,الرصد!$C208:$Y208)/SUMIF(معالجة!$B$3:$X$3,Q$2,معالجة!$B$4:$X$4),""))</f>
        <v/>
      </c>
      <c r="R208" s="51" t="str">
        <f>IF(OR(R$2="",COUNT(الرصد!$C208:$Y208)=0),"",IFERROR(SUMIF(معالجة!$B$3:$X$3,R$2,الرصد!$C208:$Y208)/SUMIF(معالجة!$B$3:$X$3,R$2,معالجة!$B$4:$X$4),""))</f>
        <v/>
      </c>
      <c r="S208" s="51" t="str">
        <f>IF(OR(S$2="",COUNT(الرصد!$C208:$Y208)=0),"",IFERROR(SUMIF(معالجة!$B$3:$X$3,S$2,الرصد!$C208:$Y208)/SUMIF(معالجة!$B$3:$X$3,S$2,معالجة!$B$4:$X$4),""))</f>
        <v/>
      </c>
      <c r="T208" s="51" t="str">
        <f>IF(OR(T$2="",COUNT(الرصد!$C208:$Y208)=0),"",IFERROR(SUMIF(معالجة!$B$3:$X$3,T$2,الرصد!$C208:$Y208)/SUMIF(معالجة!$B$3:$X$3,T$2,معالجة!$B$4:$X$4),""))</f>
        <v/>
      </c>
      <c r="U208" s="51" t="str">
        <f>IF(OR(U$2="",COUNT(الرصد!$C208:$Y208)=0),"",IFERROR(SUMIF(معالجة!$B$3:$X$3,U$2,الرصد!$C208:$Y208)/SUMIF(معالجة!$B$3:$X$3,U$2,معالجة!$B$4:$X$4),""))</f>
        <v/>
      </c>
      <c r="V208" s="51" t="str">
        <f>IF(OR(V$2="",COUNT(الرصد!$C208:$Y208)=0),"",IFERROR(SUMIF(معالجة!$B$3:$X$3,V$2,الرصد!$C208:$Y208)/SUMIF(معالجة!$B$3:$X$3,V$2,معالجة!$B$4:$X$4),""))</f>
        <v/>
      </c>
      <c r="W208" s="51" t="str">
        <f>IFERROR(C208/المهارات!$G$27,"")</f>
        <v/>
      </c>
    </row>
    <row r="209" spans="1:23" ht="14.25" customHeight="1">
      <c r="A209" s="42" t="s">
        <v>278</v>
      </c>
      <c r="B209" s="42" t="s">
        <v>26</v>
      </c>
      <c r="C209" s="50" t="str">
        <f>IF(COUNT(الرصد!C209:Y209)=0,"",SUM(الرصد!C209:Y209))</f>
        <v/>
      </c>
      <c r="D209" s="51" t="str">
        <f>IF(OR(D$2="",COUNT(الرصد!$C209:$Y209)=0),"",IFERROR(SUMIF(معالجة!$B$3:$X$3,D$2,الرصد!$C209:$Y209)/SUMIF(معالجة!$B$3:$X$3,D$2,معالجة!$B$4:$X$4),""))</f>
        <v/>
      </c>
      <c r="E209" s="51" t="str">
        <f>IF(OR(E$2="",COUNT(الرصد!$C209:$Y209)=0),"",IFERROR(SUMIF(معالجة!$B$3:$X$3,E$2,الرصد!$C209:$Y209)/SUMIF(معالجة!$B$3:$X$3,E$2,معالجة!$B$4:$X$4),""))</f>
        <v/>
      </c>
      <c r="F209" s="51" t="str">
        <f>IF(OR(F$2="",COUNT(الرصد!$C209:$Y209)=0),"",IFERROR(SUMIF(معالجة!$B$3:$X$3,F$2,الرصد!$C209:$Y209)/SUMIF(معالجة!$B$3:$X$3,F$2,معالجة!$B$4:$X$4),""))</f>
        <v/>
      </c>
      <c r="G209" s="51" t="str">
        <f>IF(OR(G$2="",COUNT(الرصد!$C209:$Y209)=0),"",IFERROR(SUMIF(معالجة!$B$3:$X$3,G$2,الرصد!$C209:$Y209)/SUMIF(معالجة!$B$3:$X$3,G$2,معالجة!$B$4:$X$4),""))</f>
        <v/>
      </c>
      <c r="H209" s="51" t="str">
        <f>IF(OR(H$2="",COUNT(الرصد!$C209:$Y209)=0),"",IFERROR(SUMIF(معالجة!$B$3:$X$3,H$2,الرصد!$C209:$Y209)/SUMIF(معالجة!$B$3:$X$3,H$2,معالجة!$B$4:$X$4),""))</f>
        <v/>
      </c>
      <c r="I209" s="51" t="str">
        <f>IF(OR(I$2="",COUNT(الرصد!$C209:$Y209)=0),"",IFERROR(SUMIF(معالجة!$B$3:$X$3,I$2,الرصد!$C209:$Y209)/SUMIF(معالجة!$B$3:$X$3,I$2,معالجة!$B$4:$X$4),""))</f>
        <v/>
      </c>
      <c r="J209" s="51" t="str">
        <f>IF(OR(J$2="",COUNT(الرصد!$C209:$Y209)=0),"",IFERROR(SUMIF(معالجة!$B$3:$X$3,J$2,الرصد!$C209:$Y209)/SUMIF(معالجة!$B$3:$X$3,J$2,معالجة!$B$4:$X$4),""))</f>
        <v/>
      </c>
      <c r="K209" s="51" t="str">
        <f>IF(OR(K$2="",COUNT(الرصد!$C209:$Y209)=0),"",IFERROR(SUMIF(معالجة!$B$3:$X$3,K$2,الرصد!$C209:$Y209)/SUMIF(معالجة!$B$3:$X$3,K$2,معالجة!$B$4:$X$4),""))</f>
        <v/>
      </c>
      <c r="L209" s="51" t="str">
        <f>IF(OR(L$2="",COUNT(الرصد!$C209:$Y209)=0),"",IFERROR(SUMIF(معالجة!$B$3:$X$3,L$2,الرصد!$C209:$Y209)/SUMIF(معالجة!$B$3:$X$3,L$2,معالجة!$B$4:$X$4),""))</f>
        <v/>
      </c>
      <c r="M209" s="51" t="str">
        <f>IF(OR(M$2="",COUNT(الرصد!$C209:$Y209)=0),"",IFERROR(SUMIF(معالجة!$B$3:$X$3,M$2,الرصد!$C209:$Y209)/SUMIF(معالجة!$B$3:$X$3,M$2,معالجة!$B$4:$X$4),""))</f>
        <v/>
      </c>
      <c r="N209" s="51" t="str">
        <f>IF(OR(N$2="",COUNT(الرصد!$C209:$Y209)=0),"",IFERROR(SUMIF(معالجة!$B$3:$X$3,N$2,الرصد!$C209:$Y209)/SUMIF(معالجة!$B$3:$X$3,N$2,معالجة!$B$4:$X$4),""))</f>
        <v/>
      </c>
      <c r="O209" s="51" t="str">
        <f>IF(OR(O$2="",COUNT(الرصد!$C209:$Y209)=0),"",IFERROR(SUMIF(معالجة!$B$3:$X$3,O$2,الرصد!$C209:$Y209)/SUMIF(معالجة!$B$3:$X$3,O$2,معالجة!$B$4:$X$4),""))</f>
        <v/>
      </c>
      <c r="P209" s="51" t="str">
        <f>IF(OR(P$2="",COUNT(الرصد!$C209:$Y209)=0),"",IFERROR(SUMIF(معالجة!$B$3:$X$3,P$2,الرصد!$C209:$Y209)/SUMIF(معالجة!$B$3:$X$3,P$2,معالجة!$B$4:$X$4),""))</f>
        <v/>
      </c>
      <c r="Q209" s="51" t="str">
        <f>IF(OR(Q$2="",COUNT(الرصد!$C209:$Y209)=0),"",IFERROR(SUMIF(معالجة!$B$3:$X$3,Q$2,الرصد!$C209:$Y209)/SUMIF(معالجة!$B$3:$X$3,Q$2,معالجة!$B$4:$X$4),""))</f>
        <v/>
      </c>
      <c r="R209" s="51" t="str">
        <f>IF(OR(R$2="",COUNT(الرصد!$C209:$Y209)=0),"",IFERROR(SUMIF(معالجة!$B$3:$X$3,R$2,الرصد!$C209:$Y209)/SUMIF(معالجة!$B$3:$X$3,R$2,معالجة!$B$4:$X$4),""))</f>
        <v/>
      </c>
      <c r="S209" s="51" t="str">
        <f>IF(OR(S$2="",COUNT(الرصد!$C209:$Y209)=0),"",IFERROR(SUMIF(معالجة!$B$3:$X$3,S$2,الرصد!$C209:$Y209)/SUMIF(معالجة!$B$3:$X$3,S$2,معالجة!$B$4:$X$4),""))</f>
        <v/>
      </c>
      <c r="T209" s="51" t="str">
        <f>IF(OR(T$2="",COUNT(الرصد!$C209:$Y209)=0),"",IFERROR(SUMIF(معالجة!$B$3:$X$3,T$2,الرصد!$C209:$Y209)/SUMIF(معالجة!$B$3:$X$3,T$2,معالجة!$B$4:$X$4),""))</f>
        <v/>
      </c>
      <c r="U209" s="51" t="str">
        <f>IF(OR(U$2="",COUNT(الرصد!$C209:$Y209)=0),"",IFERROR(SUMIF(معالجة!$B$3:$X$3,U$2,الرصد!$C209:$Y209)/SUMIF(معالجة!$B$3:$X$3,U$2,معالجة!$B$4:$X$4),""))</f>
        <v/>
      </c>
      <c r="V209" s="51" t="str">
        <f>IF(OR(V$2="",COUNT(الرصد!$C209:$Y209)=0),"",IFERROR(SUMIF(معالجة!$B$3:$X$3,V$2,الرصد!$C209:$Y209)/SUMIF(معالجة!$B$3:$X$3,V$2,معالجة!$B$4:$X$4),""))</f>
        <v/>
      </c>
      <c r="W209" s="51" t="str">
        <f>IFERROR(C209/المهارات!$G$27,"")</f>
        <v/>
      </c>
    </row>
    <row r="210" spans="1:23" ht="14.25" customHeight="1">
      <c r="A210" s="46" t="s">
        <v>279</v>
      </c>
      <c r="B210" s="46" t="s">
        <v>26</v>
      </c>
      <c r="C210" s="52" t="str">
        <f>IF(COUNT(الرصد!C210:Y210)=0,"",SUM(الرصد!C210:Y210))</f>
        <v/>
      </c>
      <c r="D210" s="51" t="str">
        <f>IF(OR(D$2="",COUNT(الرصد!$C210:$Y210)=0),"",IFERROR(SUMIF(معالجة!$B$3:$X$3,D$2,الرصد!$C210:$Y210)/SUMIF(معالجة!$B$3:$X$3,D$2,معالجة!$B$4:$X$4),""))</f>
        <v/>
      </c>
      <c r="E210" s="51" t="str">
        <f>IF(OR(E$2="",COUNT(الرصد!$C210:$Y210)=0),"",IFERROR(SUMIF(معالجة!$B$3:$X$3,E$2,الرصد!$C210:$Y210)/SUMIF(معالجة!$B$3:$X$3,E$2,معالجة!$B$4:$X$4),""))</f>
        <v/>
      </c>
      <c r="F210" s="51" t="str">
        <f>IF(OR(F$2="",COUNT(الرصد!$C210:$Y210)=0),"",IFERROR(SUMIF(معالجة!$B$3:$X$3,F$2,الرصد!$C210:$Y210)/SUMIF(معالجة!$B$3:$X$3,F$2,معالجة!$B$4:$X$4),""))</f>
        <v/>
      </c>
      <c r="G210" s="51" t="str">
        <f>IF(OR(G$2="",COUNT(الرصد!$C210:$Y210)=0),"",IFERROR(SUMIF(معالجة!$B$3:$X$3,G$2,الرصد!$C210:$Y210)/SUMIF(معالجة!$B$3:$X$3,G$2,معالجة!$B$4:$X$4),""))</f>
        <v/>
      </c>
      <c r="H210" s="51" t="str">
        <f>IF(OR(H$2="",COUNT(الرصد!$C210:$Y210)=0),"",IFERROR(SUMIF(معالجة!$B$3:$X$3,H$2,الرصد!$C210:$Y210)/SUMIF(معالجة!$B$3:$X$3,H$2,معالجة!$B$4:$X$4),""))</f>
        <v/>
      </c>
      <c r="I210" s="51" t="str">
        <f>IF(OR(I$2="",COUNT(الرصد!$C210:$Y210)=0),"",IFERROR(SUMIF(معالجة!$B$3:$X$3,I$2,الرصد!$C210:$Y210)/SUMIF(معالجة!$B$3:$X$3,I$2,معالجة!$B$4:$X$4),""))</f>
        <v/>
      </c>
      <c r="J210" s="51" t="str">
        <f>IF(OR(J$2="",COUNT(الرصد!$C210:$Y210)=0),"",IFERROR(SUMIF(معالجة!$B$3:$X$3,J$2,الرصد!$C210:$Y210)/SUMIF(معالجة!$B$3:$X$3,J$2,معالجة!$B$4:$X$4),""))</f>
        <v/>
      </c>
      <c r="K210" s="51" t="str">
        <f>IF(OR(K$2="",COUNT(الرصد!$C210:$Y210)=0),"",IFERROR(SUMIF(معالجة!$B$3:$X$3,K$2,الرصد!$C210:$Y210)/SUMIF(معالجة!$B$3:$X$3,K$2,معالجة!$B$4:$X$4),""))</f>
        <v/>
      </c>
      <c r="L210" s="51" t="str">
        <f>IF(OR(L$2="",COUNT(الرصد!$C210:$Y210)=0),"",IFERROR(SUMIF(معالجة!$B$3:$X$3,L$2,الرصد!$C210:$Y210)/SUMIF(معالجة!$B$3:$X$3,L$2,معالجة!$B$4:$X$4),""))</f>
        <v/>
      </c>
      <c r="M210" s="51" t="str">
        <f>IF(OR(M$2="",COUNT(الرصد!$C210:$Y210)=0),"",IFERROR(SUMIF(معالجة!$B$3:$X$3,M$2,الرصد!$C210:$Y210)/SUMIF(معالجة!$B$3:$X$3,M$2,معالجة!$B$4:$X$4),""))</f>
        <v/>
      </c>
      <c r="N210" s="51" t="str">
        <f>IF(OR(N$2="",COUNT(الرصد!$C210:$Y210)=0),"",IFERROR(SUMIF(معالجة!$B$3:$X$3,N$2,الرصد!$C210:$Y210)/SUMIF(معالجة!$B$3:$X$3,N$2,معالجة!$B$4:$X$4),""))</f>
        <v/>
      </c>
      <c r="O210" s="51" t="str">
        <f>IF(OR(O$2="",COUNT(الرصد!$C210:$Y210)=0),"",IFERROR(SUMIF(معالجة!$B$3:$X$3,O$2,الرصد!$C210:$Y210)/SUMIF(معالجة!$B$3:$X$3,O$2,معالجة!$B$4:$X$4),""))</f>
        <v/>
      </c>
      <c r="P210" s="51" t="str">
        <f>IF(OR(P$2="",COUNT(الرصد!$C210:$Y210)=0),"",IFERROR(SUMIF(معالجة!$B$3:$X$3,P$2,الرصد!$C210:$Y210)/SUMIF(معالجة!$B$3:$X$3,P$2,معالجة!$B$4:$X$4),""))</f>
        <v/>
      </c>
      <c r="Q210" s="51" t="str">
        <f>IF(OR(Q$2="",COUNT(الرصد!$C210:$Y210)=0),"",IFERROR(SUMIF(معالجة!$B$3:$X$3,Q$2,الرصد!$C210:$Y210)/SUMIF(معالجة!$B$3:$X$3,Q$2,معالجة!$B$4:$X$4),""))</f>
        <v/>
      </c>
      <c r="R210" s="51" t="str">
        <f>IF(OR(R$2="",COUNT(الرصد!$C210:$Y210)=0),"",IFERROR(SUMIF(معالجة!$B$3:$X$3,R$2,الرصد!$C210:$Y210)/SUMIF(معالجة!$B$3:$X$3,R$2,معالجة!$B$4:$X$4),""))</f>
        <v/>
      </c>
      <c r="S210" s="51" t="str">
        <f>IF(OR(S$2="",COUNT(الرصد!$C210:$Y210)=0),"",IFERROR(SUMIF(معالجة!$B$3:$X$3,S$2,الرصد!$C210:$Y210)/SUMIF(معالجة!$B$3:$X$3,S$2,معالجة!$B$4:$X$4),""))</f>
        <v/>
      </c>
      <c r="T210" s="51" t="str">
        <f>IF(OR(T$2="",COUNT(الرصد!$C210:$Y210)=0),"",IFERROR(SUMIF(معالجة!$B$3:$X$3,T$2,الرصد!$C210:$Y210)/SUMIF(معالجة!$B$3:$X$3,T$2,معالجة!$B$4:$X$4),""))</f>
        <v/>
      </c>
      <c r="U210" s="51" t="str">
        <f>IF(OR(U$2="",COUNT(الرصد!$C210:$Y210)=0),"",IFERROR(SUMIF(معالجة!$B$3:$X$3,U$2,الرصد!$C210:$Y210)/SUMIF(معالجة!$B$3:$X$3,U$2,معالجة!$B$4:$X$4),""))</f>
        <v/>
      </c>
      <c r="V210" s="51" t="str">
        <f>IF(OR(V$2="",COUNT(الرصد!$C210:$Y210)=0),"",IFERROR(SUMIF(معالجة!$B$3:$X$3,V$2,الرصد!$C210:$Y210)/SUMIF(معالجة!$B$3:$X$3,V$2,معالجة!$B$4:$X$4),""))</f>
        <v/>
      </c>
      <c r="W210" s="51" t="str">
        <f>IFERROR(C210/المهارات!$G$27,"")</f>
        <v/>
      </c>
    </row>
    <row r="211" spans="1:23" ht="14.25" customHeight="1">
      <c r="A211" s="42" t="s">
        <v>280</v>
      </c>
      <c r="B211" s="42" t="s">
        <v>26</v>
      </c>
      <c r="C211" s="50" t="str">
        <f>IF(COUNT(الرصد!C211:Y211)=0,"",SUM(الرصد!C211:Y211))</f>
        <v/>
      </c>
      <c r="D211" s="51" t="str">
        <f>IF(OR(D$2="",COUNT(الرصد!$C211:$Y211)=0),"",IFERROR(SUMIF(معالجة!$B$3:$X$3,D$2,الرصد!$C211:$Y211)/SUMIF(معالجة!$B$3:$X$3,D$2,معالجة!$B$4:$X$4),""))</f>
        <v/>
      </c>
      <c r="E211" s="51" t="str">
        <f>IF(OR(E$2="",COUNT(الرصد!$C211:$Y211)=0),"",IFERROR(SUMIF(معالجة!$B$3:$X$3,E$2,الرصد!$C211:$Y211)/SUMIF(معالجة!$B$3:$X$3,E$2,معالجة!$B$4:$X$4),""))</f>
        <v/>
      </c>
      <c r="F211" s="51" t="str">
        <f>IF(OR(F$2="",COUNT(الرصد!$C211:$Y211)=0),"",IFERROR(SUMIF(معالجة!$B$3:$X$3,F$2,الرصد!$C211:$Y211)/SUMIF(معالجة!$B$3:$X$3,F$2,معالجة!$B$4:$X$4),""))</f>
        <v/>
      </c>
      <c r="G211" s="51" t="str">
        <f>IF(OR(G$2="",COUNT(الرصد!$C211:$Y211)=0),"",IFERROR(SUMIF(معالجة!$B$3:$X$3,G$2,الرصد!$C211:$Y211)/SUMIF(معالجة!$B$3:$X$3,G$2,معالجة!$B$4:$X$4),""))</f>
        <v/>
      </c>
      <c r="H211" s="51" t="str">
        <f>IF(OR(H$2="",COUNT(الرصد!$C211:$Y211)=0),"",IFERROR(SUMIF(معالجة!$B$3:$X$3,H$2,الرصد!$C211:$Y211)/SUMIF(معالجة!$B$3:$X$3,H$2,معالجة!$B$4:$X$4),""))</f>
        <v/>
      </c>
      <c r="I211" s="51" t="str">
        <f>IF(OR(I$2="",COUNT(الرصد!$C211:$Y211)=0),"",IFERROR(SUMIF(معالجة!$B$3:$X$3,I$2,الرصد!$C211:$Y211)/SUMIF(معالجة!$B$3:$X$3,I$2,معالجة!$B$4:$X$4),""))</f>
        <v/>
      </c>
      <c r="J211" s="51" t="str">
        <f>IF(OR(J$2="",COUNT(الرصد!$C211:$Y211)=0),"",IFERROR(SUMIF(معالجة!$B$3:$X$3,J$2,الرصد!$C211:$Y211)/SUMIF(معالجة!$B$3:$X$3,J$2,معالجة!$B$4:$X$4),""))</f>
        <v/>
      </c>
      <c r="K211" s="51" t="str">
        <f>IF(OR(K$2="",COUNT(الرصد!$C211:$Y211)=0),"",IFERROR(SUMIF(معالجة!$B$3:$X$3,K$2,الرصد!$C211:$Y211)/SUMIF(معالجة!$B$3:$X$3,K$2,معالجة!$B$4:$X$4),""))</f>
        <v/>
      </c>
      <c r="L211" s="51" t="str">
        <f>IF(OR(L$2="",COUNT(الرصد!$C211:$Y211)=0),"",IFERROR(SUMIF(معالجة!$B$3:$X$3,L$2,الرصد!$C211:$Y211)/SUMIF(معالجة!$B$3:$X$3,L$2,معالجة!$B$4:$X$4),""))</f>
        <v/>
      </c>
      <c r="M211" s="51" t="str">
        <f>IF(OR(M$2="",COUNT(الرصد!$C211:$Y211)=0),"",IFERROR(SUMIF(معالجة!$B$3:$X$3,M$2,الرصد!$C211:$Y211)/SUMIF(معالجة!$B$3:$X$3,M$2,معالجة!$B$4:$X$4),""))</f>
        <v/>
      </c>
      <c r="N211" s="51" t="str">
        <f>IF(OR(N$2="",COUNT(الرصد!$C211:$Y211)=0),"",IFERROR(SUMIF(معالجة!$B$3:$X$3,N$2,الرصد!$C211:$Y211)/SUMIF(معالجة!$B$3:$X$3,N$2,معالجة!$B$4:$X$4),""))</f>
        <v/>
      </c>
      <c r="O211" s="51" t="str">
        <f>IF(OR(O$2="",COUNT(الرصد!$C211:$Y211)=0),"",IFERROR(SUMIF(معالجة!$B$3:$X$3,O$2,الرصد!$C211:$Y211)/SUMIF(معالجة!$B$3:$X$3,O$2,معالجة!$B$4:$X$4),""))</f>
        <v/>
      </c>
      <c r="P211" s="51" t="str">
        <f>IF(OR(P$2="",COUNT(الرصد!$C211:$Y211)=0),"",IFERROR(SUMIF(معالجة!$B$3:$X$3,P$2,الرصد!$C211:$Y211)/SUMIF(معالجة!$B$3:$X$3,P$2,معالجة!$B$4:$X$4),""))</f>
        <v/>
      </c>
      <c r="Q211" s="51" t="str">
        <f>IF(OR(Q$2="",COUNT(الرصد!$C211:$Y211)=0),"",IFERROR(SUMIF(معالجة!$B$3:$X$3,Q$2,الرصد!$C211:$Y211)/SUMIF(معالجة!$B$3:$X$3,Q$2,معالجة!$B$4:$X$4),""))</f>
        <v/>
      </c>
      <c r="R211" s="51" t="str">
        <f>IF(OR(R$2="",COUNT(الرصد!$C211:$Y211)=0),"",IFERROR(SUMIF(معالجة!$B$3:$X$3,R$2,الرصد!$C211:$Y211)/SUMIF(معالجة!$B$3:$X$3,R$2,معالجة!$B$4:$X$4),""))</f>
        <v/>
      </c>
      <c r="S211" s="51" t="str">
        <f>IF(OR(S$2="",COUNT(الرصد!$C211:$Y211)=0),"",IFERROR(SUMIF(معالجة!$B$3:$X$3,S$2,الرصد!$C211:$Y211)/SUMIF(معالجة!$B$3:$X$3,S$2,معالجة!$B$4:$X$4),""))</f>
        <v/>
      </c>
      <c r="T211" s="51" t="str">
        <f>IF(OR(T$2="",COUNT(الرصد!$C211:$Y211)=0),"",IFERROR(SUMIF(معالجة!$B$3:$X$3,T$2,الرصد!$C211:$Y211)/SUMIF(معالجة!$B$3:$X$3,T$2,معالجة!$B$4:$X$4),""))</f>
        <v/>
      </c>
      <c r="U211" s="51" t="str">
        <f>IF(OR(U$2="",COUNT(الرصد!$C211:$Y211)=0),"",IFERROR(SUMIF(معالجة!$B$3:$X$3,U$2,الرصد!$C211:$Y211)/SUMIF(معالجة!$B$3:$X$3,U$2,معالجة!$B$4:$X$4),""))</f>
        <v/>
      </c>
      <c r="V211" s="51" t="str">
        <f>IF(OR(V$2="",COUNT(الرصد!$C211:$Y211)=0),"",IFERROR(SUMIF(معالجة!$B$3:$X$3,V$2,الرصد!$C211:$Y211)/SUMIF(معالجة!$B$3:$X$3,V$2,معالجة!$B$4:$X$4),""))</f>
        <v/>
      </c>
      <c r="W211" s="51" t="str">
        <f>IFERROR(C211/المهارات!$G$27,"")</f>
        <v/>
      </c>
    </row>
    <row r="212" spans="1:23" ht="14.25" customHeight="1">
      <c r="A212" s="46" t="s">
        <v>281</v>
      </c>
      <c r="B212" s="46" t="s">
        <v>26</v>
      </c>
      <c r="C212" s="52" t="str">
        <f>IF(COUNT(الرصد!C212:Y212)=0,"",SUM(الرصد!C212:Y212))</f>
        <v/>
      </c>
      <c r="D212" s="51" t="str">
        <f>IF(OR(D$2="",COUNT(الرصد!$C212:$Y212)=0),"",IFERROR(SUMIF(معالجة!$B$3:$X$3,D$2,الرصد!$C212:$Y212)/SUMIF(معالجة!$B$3:$X$3,D$2,معالجة!$B$4:$X$4),""))</f>
        <v/>
      </c>
      <c r="E212" s="51" t="str">
        <f>IF(OR(E$2="",COUNT(الرصد!$C212:$Y212)=0),"",IFERROR(SUMIF(معالجة!$B$3:$X$3,E$2,الرصد!$C212:$Y212)/SUMIF(معالجة!$B$3:$X$3,E$2,معالجة!$B$4:$X$4),""))</f>
        <v/>
      </c>
      <c r="F212" s="51" t="str">
        <f>IF(OR(F$2="",COUNT(الرصد!$C212:$Y212)=0),"",IFERROR(SUMIF(معالجة!$B$3:$X$3,F$2,الرصد!$C212:$Y212)/SUMIF(معالجة!$B$3:$X$3,F$2,معالجة!$B$4:$X$4),""))</f>
        <v/>
      </c>
      <c r="G212" s="51" t="str">
        <f>IF(OR(G$2="",COUNT(الرصد!$C212:$Y212)=0),"",IFERROR(SUMIF(معالجة!$B$3:$X$3,G$2,الرصد!$C212:$Y212)/SUMIF(معالجة!$B$3:$X$3,G$2,معالجة!$B$4:$X$4),""))</f>
        <v/>
      </c>
      <c r="H212" s="51" t="str">
        <f>IF(OR(H$2="",COUNT(الرصد!$C212:$Y212)=0),"",IFERROR(SUMIF(معالجة!$B$3:$X$3,H$2,الرصد!$C212:$Y212)/SUMIF(معالجة!$B$3:$X$3,H$2,معالجة!$B$4:$X$4),""))</f>
        <v/>
      </c>
      <c r="I212" s="51" t="str">
        <f>IF(OR(I$2="",COUNT(الرصد!$C212:$Y212)=0),"",IFERROR(SUMIF(معالجة!$B$3:$X$3,I$2,الرصد!$C212:$Y212)/SUMIF(معالجة!$B$3:$X$3,I$2,معالجة!$B$4:$X$4),""))</f>
        <v/>
      </c>
      <c r="J212" s="51" t="str">
        <f>IF(OR(J$2="",COUNT(الرصد!$C212:$Y212)=0),"",IFERROR(SUMIF(معالجة!$B$3:$X$3,J$2,الرصد!$C212:$Y212)/SUMIF(معالجة!$B$3:$X$3,J$2,معالجة!$B$4:$X$4),""))</f>
        <v/>
      </c>
      <c r="K212" s="51" t="str">
        <f>IF(OR(K$2="",COUNT(الرصد!$C212:$Y212)=0),"",IFERROR(SUMIF(معالجة!$B$3:$X$3,K$2,الرصد!$C212:$Y212)/SUMIF(معالجة!$B$3:$X$3,K$2,معالجة!$B$4:$X$4),""))</f>
        <v/>
      </c>
      <c r="L212" s="51" t="str">
        <f>IF(OR(L$2="",COUNT(الرصد!$C212:$Y212)=0),"",IFERROR(SUMIF(معالجة!$B$3:$X$3,L$2,الرصد!$C212:$Y212)/SUMIF(معالجة!$B$3:$X$3,L$2,معالجة!$B$4:$X$4),""))</f>
        <v/>
      </c>
      <c r="M212" s="51" t="str">
        <f>IF(OR(M$2="",COUNT(الرصد!$C212:$Y212)=0),"",IFERROR(SUMIF(معالجة!$B$3:$X$3,M$2,الرصد!$C212:$Y212)/SUMIF(معالجة!$B$3:$X$3,M$2,معالجة!$B$4:$X$4),""))</f>
        <v/>
      </c>
      <c r="N212" s="51" t="str">
        <f>IF(OR(N$2="",COUNT(الرصد!$C212:$Y212)=0),"",IFERROR(SUMIF(معالجة!$B$3:$X$3,N$2,الرصد!$C212:$Y212)/SUMIF(معالجة!$B$3:$X$3,N$2,معالجة!$B$4:$X$4),""))</f>
        <v/>
      </c>
      <c r="O212" s="51" t="str">
        <f>IF(OR(O$2="",COUNT(الرصد!$C212:$Y212)=0),"",IFERROR(SUMIF(معالجة!$B$3:$X$3,O$2,الرصد!$C212:$Y212)/SUMIF(معالجة!$B$3:$X$3,O$2,معالجة!$B$4:$X$4),""))</f>
        <v/>
      </c>
      <c r="P212" s="51" t="str">
        <f>IF(OR(P$2="",COUNT(الرصد!$C212:$Y212)=0),"",IFERROR(SUMIF(معالجة!$B$3:$X$3,P$2,الرصد!$C212:$Y212)/SUMIF(معالجة!$B$3:$X$3,P$2,معالجة!$B$4:$X$4),""))</f>
        <v/>
      </c>
      <c r="Q212" s="51" t="str">
        <f>IF(OR(Q$2="",COUNT(الرصد!$C212:$Y212)=0),"",IFERROR(SUMIF(معالجة!$B$3:$X$3,Q$2,الرصد!$C212:$Y212)/SUMIF(معالجة!$B$3:$X$3,Q$2,معالجة!$B$4:$X$4),""))</f>
        <v/>
      </c>
      <c r="R212" s="51" t="str">
        <f>IF(OR(R$2="",COUNT(الرصد!$C212:$Y212)=0),"",IFERROR(SUMIF(معالجة!$B$3:$X$3,R$2,الرصد!$C212:$Y212)/SUMIF(معالجة!$B$3:$X$3,R$2,معالجة!$B$4:$X$4),""))</f>
        <v/>
      </c>
      <c r="S212" s="51" t="str">
        <f>IF(OR(S$2="",COUNT(الرصد!$C212:$Y212)=0),"",IFERROR(SUMIF(معالجة!$B$3:$X$3,S$2,الرصد!$C212:$Y212)/SUMIF(معالجة!$B$3:$X$3,S$2,معالجة!$B$4:$X$4),""))</f>
        <v/>
      </c>
      <c r="T212" s="51" t="str">
        <f>IF(OR(T$2="",COUNT(الرصد!$C212:$Y212)=0),"",IFERROR(SUMIF(معالجة!$B$3:$X$3,T$2,الرصد!$C212:$Y212)/SUMIF(معالجة!$B$3:$X$3,T$2,معالجة!$B$4:$X$4),""))</f>
        <v/>
      </c>
      <c r="U212" s="51" t="str">
        <f>IF(OR(U$2="",COUNT(الرصد!$C212:$Y212)=0),"",IFERROR(SUMIF(معالجة!$B$3:$X$3,U$2,الرصد!$C212:$Y212)/SUMIF(معالجة!$B$3:$X$3,U$2,معالجة!$B$4:$X$4),""))</f>
        <v/>
      </c>
      <c r="V212" s="51" t="str">
        <f>IF(OR(V$2="",COUNT(الرصد!$C212:$Y212)=0),"",IFERROR(SUMIF(معالجة!$B$3:$X$3,V$2,الرصد!$C212:$Y212)/SUMIF(معالجة!$B$3:$X$3,V$2,معالجة!$B$4:$X$4),""))</f>
        <v/>
      </c>
      <c r="W212" s="51" t="str">
        <f>IFERROR(C212/المهارات!$G$27,"")</f>
        <v/>
      </c>
    </row>
    <row r="213" spans="1:23" ht="14.25" customHeight="1">
      <c r="A213" s="42" t="s">
        <v>282</v>
      </c>
      <c r="B213" s="42" t="s">
        <v>26</v>
      </c>
      <c r="C213" s="50" t="str">
        <f>IF(COUNT(الرصد!C213:Y213)=0,"",SUM(الرصد!C213:Y213))</f>
        <v/>
      </c>
      <c r="D213" s="51" t="str">
        <f>IF(OR(D$2="",COUNT(الرصد!$C213:$Y213)=0),"",IFERROR(SUMIF(معالجة!$B$3:$X$3,D$2,الرصد!$C213:$Y213)/SUMIF(معالجة!$B$3:$X$3,D$2,معالجة!$B$4:$X$4),""))</f>
        <v/>
      </c>
      <c r="E213" s="51" t="str">
        <f>IF(OR(E$2="",COUNT(الرصد!$C213:$Y213)=0),"",IFERROR(SUMIF(معالجة!$B$3:$X$3,E$2,الرصد!$C213:$Y213)/SUMIF(معالجة!$B$3:$X$3,E$2,معالجة!$B$4:$X$4),""))</f>
        <v/>
      </c>
      <c r="F213" s="51" t="str">
        <f>IF(OR(F$2="",COUNT(الرصد!$C213:$Y213)=0),"",IFERROR(SUMIF(معالجة!$B$3:$X$3,F$2,الرصد!$C213:$Y213)/SUMIF(معالجة!$B$3:$X$3,F$2,معالجة!$B$4:$X$4),""))</f>
        <v/>
      </c>
      <c r="G213" s="51" t="str">
        <f>IF(OR(G$2="",COUNT(الرصد!$C213:$Y213)=0),"",IFERROR(SUMIF(معالجة!$B$3:$X$3,G$2,الرصد!$C213:$Y213)/SUMIF(معالجة!$B$3:$X$3,G$2,معالجة!$B$4:$X$4),""))</f>
        <v/>
      </c>
      <c r="H213" s="51" t="str">
        <f>IF(OR(H$2="",COUNT(الرصد!$C213:$Y213)=0),"",IFERROR(SUMIF(معالجة!$B$3:$X$3,H$2,الرصد!$C213:$Y213)/SUMIF(معالجة!$B$3:$X$3,H$2,معالجة!$B$4:$X$4),""))</f>
        <v/>
      </c>
      <c r="I213" s="51" t="str">
        <f>IF(OR(I$2="",COUNT(الرصد!$C213:$Y213)=0),"",IFERROR(SUMIF(معالجة!$B$3:$X$3,I$2,الرصد!$C213:$Y213)/SUMIF(معالجة!$B$3:$X$3,I$2,معالجة!$B$4:$X$4),""))</f>
        <v/>
      </c>
      <c r="J213" s="51" t="str">
        <f>IF(OR(J$2="",COUNT(الرصد!$C213:$Y213)=0),"",IFERROR(SUMIF(معالجة!$B$3:$X$3,J$2,الرصد!$C213:$Y213)/SUMIF(معالجة!$B$3:$X$3,J$2,معالجة!$B$4:$X$4),""))</f>
        <v/>
      </c>
      <c r="K213" s="51" t="str">
        <f>IF(OR(K$2="",COUNT(الرصد!$C213:$Y213)=0),"",IFERROR(SUMIF(معالجة!$B$3:$X$3,K$2,الرصد!$C213:$Y213)/SUMIF(معالجة!$B$3:$X$3,K$2,معالجة!$B$4:$X$4),""))</f>
        <v/>
      </c>
      <c r="L213" s="51" t="str">
        <f>IF(OR(L$2="",COUNT(الرصد!$C213:$Y213)=0),"",IFERROR(SUMIF(معالجة!$B$3:$X$3,L$2,الرصد!$C213:$Y213)/SUMIF(معالجة!$B$3:$X$3,L$2,معالجة!$B$4:$X$4),""))</f>
        <v/>
      </c>
      <c r="M213" s="51" t="str">
        <f>IF(OR(M$2="",COUNT(الرصد!$C213:$Y213)=0),"",IFERROR(SUMIF(معالجة!$B$3:$X$3,M$2,الرصد!$C213:$Y213)/SUMIF(معالجة!$B$3:$X$3,M$2,معالجة!$B$4:$X$4),""))</f>
        <v/>
      </c>
      <c r="N213" s="51" t="str">
        <f>IF(OR(N$2="",COUNT(الرصد!$C213:$Y213)=0),"",IFERROR(SUMIF(معالجة!$B$3:$X$3,N$2,الرصد!$C213:$Y213)/SUMIF(معالجة!$B$3:$X$3,N$2,معالجة!$B$4:$X$4),""))</f>
        <v/>
      </c>
      <c r="O213" s="51" t="str">
        <f>IF(OR(O$2="",COUNT(الرصد!$C213:$Y213)=0),"",IFERROR(SUMIF(معالجة!$B$3:$X$3,O$2,الرصد!$C213:$Y213)/SUMIF(معالجة!$B$3:$X$3,O$2,معالجة!$B$4:$X$4),""))</f>
        <v/>
      </c>
      <c r="P213" s="51" t="str">
        <f>IF(OR(P$2="",COUNT(الرصد!$C213:$Y213)=0),"",IFERROR(SUMIF(معالجة!$B$3:$X$3,P$2,الرصد!$C213:$Y213)/SUMIF(معالجة!$B$3:$X$3,P$2,معالجة!$B$4:$X$4),""))</f>
        <v/>
      </c>
      <c r="Q213" s="51" t="str">
        <f>IF(OR(Q$2="",COUNT(الرصد!$C213:$Y213)=0),"",IFERROR(SUMIF(معالجة!$B$3:$X$3,Q$2,الرصد!$C213:$Y213)/SUMIF(معالجة!$B$3:$X$3,Q$2,معالجة!$B$4:$X$4),""))</f>
        <v/>
      </c>
      <c r="R213" s="51" t="str">
        <f>IF(OR(R$2="",COUNT(الرصد!$C213:$Y213)=0),"",IFERROR(SUMIF(معالجة!$B$3:$X$3,R$2,الرصد!$C213:$Y213)/SUMIF(معالجة!$B$3:$X$3,R$2,معالجة!$B$4:$X$4),""))</f>
        <v/>
      </c>
      <c r="S213" s="51" t="str">
        <f>IF(OR(S$2="",COUNT(الرصد!$C213:$Y213)=0),"",IFERROR(SUMIF(معالجة!$B$3:$X$3,S$2,الرصد!$C213:$Y213)/SUMIF(معالجة!$B$3:$X$3,S$2,معالجة!$B$4:$X$4),""))</f>
        <v/>
      </c>
      <c r="T213" s="51" t="str">
        <f>IF(OR(T$2="",COUNT(الرصد!$C213:$Y213)=0),"",IFERROR(SUMIF(معالجة!$B$3:$X$3,T$2,الرصد!$C213:$Y213)/SUMIF(معالجة!$B$3:$X$3,T$2,معالجة!$B$4:$X$4),""))</f>
        <v/>
      </c>
      <c r="U213" s="51" t="str">
        <f>IF(OR(U$2="",COUNT(الرصد!$C213:$Y213)=0),"",IFERROR(SUMIF(معالجة!$B$3:$X$3,U$2,الرصد!$C213:$Y213)/SUMIF(معالجة!$B$3:$X$3,U$2,معالجة!$B$4:$X$4),""))</f>
        <v/>
      </c>
      <c r="V213" s="51" t="str">
        <f>IF(OR(V$2="",COUNT(الرصد!$C213:$Y213)=0),"",IFERROR(SUMIF(معالجة!$B$3:$X$3,V$2,الرصد!$C213:$Y213)/SUMIF(معالجة!$B$3:$X$3,V$2,معالجة!$B$4:$X$4),""))</f>
        <v/>
      </c>
      <c r="W213" s="51" t="str">
        <f>IFERROR(C213/المهارات!$G$27,"")</f>
        <v/>
      </c>
    </row>
    <row r="214" spans="1:23" ht="14.25" customHeight="1">
      <c r="A214" s="46" t="s">
        <v>283</v>
      </c>
      <c r="B214" s="46" t="s">
        <v>26</v>
      </c>
      <c r="C214" s="52" t="str">
        <f>IF(COUNT(الرصد!C214:Y214)=0,"",SUM(الرصد!C214:Y214))</f>
        <v/>
      </c>
      <c r="D214" s="51" t="str">
        <f>IF(OR(D$2="",COUNT(الرصد!$C214:$Y214)=0),"",IFERROR(SUMIF(معالجة!$B$3:$X$3,D$2,الرصد!$C214:$Y214)/SUMIF(معالجة!$B$3:$X$3,D$2,معالجة!$B$4:$X$4),""))</f>
        <v/>
      </c>
      <c r="E214" s="51" t="str">
        <f>IF(OR(E$2="",COUNT(الرصد!$C214:$Y214)=0),"",IFERROR(SUMIF(معالجة!$B$3:$X$3,E$2,الرصد!$C214:$Y214)/SUMIF(معالجة!$B$3:$X$3,E$2,معالجة!$B$4:$X$4),""))</f>
        <v/>
      </c>
      <c r="F214" s="51" t="str">
        <f>IF(OR(F$2="",COUNT(الرصد!$C214:$Y214)=0),"",IFERROR(SUMIF(معالجة!$B$3:$X$3,F$2,الرصد!$C214:$Y214)/SUMIF(معالجة!$B$3:$X$3,F$2,معالجة!$B$4:$X$4),""))</f>
        <v/>
      </c>
      <c r="G214" s="51" t="str">
        <f>IF(OR(G$2="",COUNT(الرصد!$C214:$Y214)=0),"",IFERROR(SUMIF(معالجة!$B$3:$X$3,G$2,الرصد!$C214:$Y214)/SUMIF(معالجة!$B$3:$X$3,G$2,معالجة!$B$4:$X$4),""))</f>
        <v/>
      </c>
      <c r="H214" s="51" t="str">
        <f>IF(OR(H$2="",COUNT(الرصد!$C214:$Y214)=0),"",IFERROR(SUMIF(معالجة!$B$3:$X$3,H$2,الرصد!$C214:$Y214)/SUMIF(معالجة!$B$3:$X$3,H$2,معالجة!$B$4:$X$4),""))</f>
        <v/>
      </c>
      <c r="I214" s="51" t="str">
        <f>IF(OR(I$2="",COUNT(الرصد!$C214:$Y214)=0),"",IFERROR(SUMIF(معالجة!$B$3:$X$3,I$2,الرصد!$C214:$Y214)/SUMIF(معالجة!$B$3:$X$3,I$2,معالجة!$B$4:$X$4),""))</f>
        <v/>
      </c>
      <c r="J214" s="51" t="str">
        <f>IF(OR(J$2="",COUNT(الرصد!$C214:$Y214)=0),"",IFERROR(SUMIF(معالجة!$B$3:$X$3,J$2,الرصد!$C214:$Y214)/SUMIF(معالجة!$B$3:$X$3,J$2,معالجة!$B$4:$X$4),""))</f>
        <v/>
      </c>
      <c r="K214" s="51" t="str">
        <f>IF(OR(K$2="",COUNT(الرصد!$C214:$Y214)=0),"",IFERROR(SUMIF(معالجة!$B$3:$X$3,K$2,الرصد!$C214:$Y214)/SUMIF(معالجة!$B$3:$X$3,K$2,معالجة!$B$4:$X$4),""))</f>
        <v/>
      </c>
      <c r="L214" s="51" t="str">
        <f>IF(OR(L$2="",COUNT(الرصد!$C214:$Y214)=0),"",IFERROR(SUMIF(معالجة!$B$3:$X$3,L$2,الرصد!$C214:$Y214)/SUMIF(معالجة!$B$3:$X$3,L$2,معالجة!$B$4:$X$4),""))</f>
        <v/>
      </c>
      <c r="M214" s="51" t="str">
        <f>IF(OR(M$2="",COUNT(الرصد!$C214:$Y214)=0),"",IFERROR(SUMIF(معالجة!$B$3:$X$3,M$2,الرصد!$C214:$Y214)/SUMIF(معالجة!$B$3:$X$3,M$2,معالجة!$B$4:$X$4),""))</f>
        <v/>
      </c>
      <c r="N214" s="51" t="str">
        <f>IF(OR(N$2="",COUNT(الرصد!$C214:$Y214)=0),"",IFERROR(SUMIF(معالجة!$B$3:$X$3,N$2,الرصد!$C214:$Y214)/SUMIF(معالجة!$B$3:$X$3,N$2,معالجة!$B$4:$X$4),""))</f>
        <v/>
      </c>
      <c r="O214" s="51" t="str">
        <f>IF(OR(O$2="",COUNT(الرصد!$C214:$Y214)=0),"",IFERROR(SUMIF(معالجة!$B$3:$X$3,O$2,الرصد!$C214:$Y214)/SUMIF(معالجة!$B$3:$X$3,O$2,معالجة!$B$4:$X$4),""))</f>
        <v/>
      </c>
      <c r="P214" s="51" t="str">
        <f>IF(OR(P$2="",COUNT(الرصد!$C214:$Y214)=0),"",IFERROR(SUMIF(معالجة!$B$3:$X$3,P$2,الرصد!$C214:$Y214)/SUMIF(معالجة!$B$3:$X$3,P$2,معالجة!$B$4:$X$4),""))</f>
        <v/>
      </c>
      <c r="Q214" s="51" t="str">
        <f>IF(OR(Q$2="",COUNT(الرصد!$C214:$Y214)=0),"",IFERROR(SUMIF(معالجة!$B$3:$X$3,Q$2,الرصد!$C214:$Y214)/SUMIF(معالجة!$B$3:$X$3,Q$2,معالجة!$B$4:$X$4),""))</f>
        <v/>
      </c>
      <c r="R214" s="51" t="str">
        <f>IF(OR(R$2="",COUNT(الرصد!$C214:$Y214)=0),"",IFERROR(SUMIF(معالجة!$B$3:$X$3,R$2,الرصد!$C214:$Y214)/SUMIF(معالجة!$B$3:$X$3,R$2,معالجة!$B$4:$X$4),""))</f>
        <v/>
      </c>
      <c r="S214" s="51" t="str">
        <f>IF(OR(S$2="",COUNT(الرصد!$C214:$Y214)=0),"",IFERROR(SUMIF(معالجة!$B$3:$X$3,S$2,الرصد!$C214:$Y214)/SUMIF(معالجة!$B$3:$X$3,S$2,معالجة!$B$4:$X$4),""))</f>
        <v/>
      </c>
      <c r="T214" s="51" t="str">
        <f>IF(OR(T$2="",COUNT(الرصد!$C214:$Y214)=0),"",IFERROR(SUMIF(معالجة!$B$3:$X$3,T$2,الرصد!$C214:$Y214)/SUMIF(معالجة!$B$3:$X$3,T$2,معالجة!$B$4:$X$4),""))</f>
        <v/>
      </c>
      <c r="U214" s="51" t="str">
        <f>IF(OR(U$2="",COUNT(الرصد!$C214:$Y214)=0),"",IFERROR(SUMIF(معالجة!$B$3:$X$3,U$2,الرصد!$C214:$Y214)/SUMIF(معالجة!$B$3:$X$3,U$2,معالجة!$B$4:$X$4),""))</f>
        <v/>
      </c>
      <c r="V214" s="51" t="str">
        <f>IF(OR(V$2="",COUNT(الرصد!$C214:$Y214)=0),"",IFERROR(SUMIF(معالجة!$B$3:$X$3,V$2,الرصد!$C214:$Y214)/SUMIF(معالجة!$B$3:$X$3,V$2,معالجة!$B$4:$X$4),""))</f>
        <v/>
      </c>
      <c r="W214" s="51" t="str">
        <f>IFERROR(C214/المهارات!$G$27,"")</f>
        <v/>
      </c>
    </row>
    <row r="215" spans="1:23" ht="14.25" customHeight="1">
      <c r="A215" s="42" t="s">
        <v>284</v>
      </c>
      <c r="B215" s="42" t="s">
        <v>26</v>
      </c>
      <c r="C215" s="50" t="str">
        <f>IF(COUNT(الرصد!C215:Y215)=0,"",SUM(الرصد!C215:Y215))</f>
        <v/>
      </c>
      <c r="D215" s="51" t="str">
        <f>IF(OR(D$2="",COUNT(الرصد!$C215:$Y215)=0),"",IFERROR(SUMIF(معالجة!$B$3:$X$3,D$2,الرصد!$C215:$Y215)/SUMIF(معالجة!$B$3:$X$3,D$2,معالجة!$B$4:$X$4),""))</f>
        <v/>
      </c>
      <c r="E215" s="51" t="str">
        <f>IF(OR(E$2="",COUNT(الرصد!$C215:$Y215)=0),"",IFERROR(SUMIF(معالجة!$B$3:$X$3,E$2,الرصد!$C215:$Y215)/SUMIF(معالجة!$B$3:$X$3,E$2,معالجة!$B$4:$X$4),""))</f>
        <v/>
      </c>
      <c r="F215" s="51" t="str">
        <f>IF(OR(F$2="",COUNT(الرصد!$C215:$Y215)=0),"",IFERROR(SUMIF(معالجة!$B$3:$X$3,F$2,الرصد!$C215:$Y215)/SUMIF(معالجة!$B$3:$X$3,F$2,معالجة!$B$4:$X$4),""))</f>
        <v/>
      </c>
      <c r="G215" s="51" t="str">
        <f>IF(OR(G$2="",COUNT(الرصد!$C215:$Y215)=0),"",IFERROR(SUMIF(معالجة!$B$3:$X$3,G$2,الرصد!$C215:$Y215)/SUMIF(معالجة!$B$3:$X$3,G$2,معالجة!$B$4:$X$4),""))</f>
        <v/>
      </c>
      <c r="H215" s="51" t="str">
        <f>IF(OR(H$2="",COUNT(الرصد!$C215:$Y215)=0),"",IFERROR(SUMIF(معالجة!$B$3:$X$3,H$2,الرصد!$C215:$Y215)/SUMIF(معالجة!$B$3:$X$3,H$2,معالجة!$B$4:$X$4),""))</f>
        <v/>
      </c>
      <c r="I215" s="51" t="str">
        <f>IF(OR(I$2="",COUNT(الرصد!$C215:$Y215)=0),"",IFERROR(SUMIF(معالجة!$B$3:$X$3,I$2,الرصد!$C215:$Y215)/SUMIF(معالجة!$B$3:$X$3,I$2,معالجة!$B$4:$X$4),""))</f>
        <v/>
      </c>
      <c r="J215" s="51" t="str">
        <f>IF(OR(J$2="",COUNT(الرصد!$C215:$Y215)=0),"",IFERROR(SUMIF(معالجة!$B$3:$X$3,J$2,الرصد!$C215:$Y215)/SUMIF(معالجة!$B$3:$X$3,J$2,معالجة!$B$4:$X$4),""))</f>
        <v/>
      </c>
      <c r="K215" s="51" t="str">
        <f>IF(OR(K$2="",COUNT(الرصد!$C215:$Y215)=0),"",IFERROR(SUMIF(معالجة!$B$3:$X$3,K$2,الرصد!$C215:$Y215)/SUMIF(معالجة!$B$3:$X$3,K$2,معالجة!$B$4:$X$4),""))</f>
        <v/>
      </c>
      <c r="L215" s="51" t="str">
        <f>IF(OR(L$2="",COUNT(الرصد!$C215:$Y215)=0),"",IFERROR(SUMIF(معالجة!$B$3:$X$3,L$2,الرصد!$C215:$Y215)/SUMIF(معالجة!$B$3:$X$3,L$2,معالجة!$B$4:$X$4),""))</f>
        <v/>
      </c>
      <c r="M215" s="51" t="str">
        <f>IF(OR(M$2="",COUNT(الرصد!$C215:$Y215)=0),"",IFERROR(SUMIF(معالجة!$B$3:$X$3,M$2,الرصد!$C215:$Y215)/SUMIF(معالجة!$B$3:$X$3,M$2,معالجة!$B$4:$X$4),""))</f>
        <v/>
      </c>
      <c r="N215" s="51" t="str">
        <f>IF(OR(N$2="",COUNT(الرصد!$C215:$Y215)=0),"",IFERROR(SUMIF(معالجة!$B$3:$X$3,N$2,الرصد!$C215:$Y215)/SUMIF(معالجة!$B$3:$X$3,N$2,معالجة!$B$4:$X$4),""))</f>
        <v/>
      </c>
      <c r="O215" s="51" t="str">
        <f>IF(OR(O$2="",COUNT(الرصد!$C215:$Y215)=0),"",IFERROR(SUMIF(معالجة!$B$3:$X$3,O$2,الرصد!$C215:$Y215)/SUMIF(معالجة!$B$3:$X$3,O$2,معالجة!$B$4:$X$4),""))</f>
        <v/>
      </c>
      <c r="P215" s="51" t="str">
        <f>IF(OR(P$2="",COUNT(الرصد!$C215:$Y215)=0),"",IFERROR(SUMIF(معالجة!$B$3:$X$3,P$2,الرصد!$C215:$Y215)/SUMIF(معالجة!$B$3:$X$3,P$2,معالجة!$B$4:$X$4),""))</f>
        <v/>
      </c>
      <c r="Q215" s="51" t="str">
        <f>IF(OR(Q$2="",COUNT(الرصد!$C215:$Y215)=0),"",IFERROR(SUMIF(معالجة!$B$3:$X$3,Q$2,الرصد!$C215:$Y215)/SUMIF(معالجة!$B$3:$X$3,Q$2,معالجة!$B$4:$X$4),""))</f>
        <v/>
      </c>
      <c r="R215" s="51" t="str">
        <f>IF(OR(R$2="",COUNT(الرصد!$C215:$Y215)=0),"",IFERROR(SUMIF(معالجة!$B$3:$X$3,R$2,الرصد!$C215:$Y215)/SUMIF(معالجة!$B$3:$X$3,R$2,معالجة!$B$4:$X$4),""))</f>
        <v/>
      </c>
      <c r="S215" s="51" t="str">
        <f>IF(OR(S$2="",COUNT(الرصد!$C215:$Y215)=0),"",IFERROR(SUMIF(معالجة!$B$3:$X$3,S$2,الرصد!$C215:$Y215)/SUMIF(معالجة!$B$3:$X$3,S$2,معالجة!$B$4:$X$4),""))</f>
        <v/>
      </c>
      <c r="T215" s="51" t="str">
        <f>IF(OR(T$2="",COUNT(الرصد!$C215:$Y215)=0),"",IFERROR(SUMIF(معالجة!$B$3:$X$3,T$2,الرصد!$C215:$Y215)/SUMIF(معالجة!$B$3:$X$3,T$2,معالجة!$B$4:$X$4),""))</f>
        <v/>
      </c>
      <c r="U215" s="51" t="str">
        <f>IF(OR(U$2="",COUNT(الرصد!$C215:$Y215)=0),"",IFERROR(SUMIF(معالجة!$B$3:$X$3,U$2,الرصد!$C215:$Y215)/SUMIF(معالجة!$B$3:$X$3,U$2,معالجة!$B$4:$X$4),""))</f>
        <v/>
      </c>
      <c r="V215" s="51" t="str">
        <f>IF(OR(V$2="",COUNT(الرصد!$C215:$Y215)=0),"",IFERROR(SUMIF(معالجة!$B$3:$X$3,V$2,الرصد!$C215:$Y215)/SUMIF(معالجة!$B$3:$X$3,V$2,معالجة!$B$4:$X$4),""))</f>
        <v/>
      </c>
      <c r="W215" s="51" t="str">
        <f>IFERROR(C215/المهارات!$G$27,"")</f>
        <v/>
      </c>
    </row>
    <row r="216" spans="1:23" ht="14.25" customHeight="1">
      <c r="A216" s="46" t="s">
        <v>285</v>
      </c>
      <c r="B216" s="46" t="s">
        <v>26</v>
      </c>
      <c r="C216" s="52" t="str">
        <f>IF(COUNT(الرصد!C216:Y216)=0,"",SUM(الرصد!C216:Y216))</f>
        <v/>
      </c>
      <c r="D216" s="51" t="str">
        <f>IF(OR(D$2="",COUNT(الرصد!$C216:$Y216)=0),"",IFERROR(SUMIF(معالجة!$B$3:$X$3,D$2,الرصد!$C216:$Y216)/SUMIF(معالجة!$B$3:$X$3,D$2,معالجة!$B$4:$X$4),""))</f>
        <v/>
      </c>
      <c r="E216" s="51" t="str">
        <f>IF(OR(E$2="",COUNT(الرصد!$C216:$Y216)=0),"",IFERROR(SUMIF(معالجة!$B$3:$X$3,E$2,الرصد!$C216:$Y216)/SUMIF(معالجة!$B$3:$X$3,E$2,معالجة!$B$4:$X$4),""))</f>
        <v/>
      </c>
      <c r="F216" s="51" t="str">
        <f>IF(OR(F$2="",COUNT(الرصد!$C216:$Y216)=0),"",IFERROR(SUMIF(معالجة!$B$3:$X$3,F$2,الرصد!$C216:$Y216)/SUMIF(معالجة!$B$3:$X$3,F$2,معالجة!$B$4:$X$4),""))</f>
        <v/>
      </c>
      <c r="G216" s="51" t="str">
        <f>IF(OR(G$2="",COUNT(الرصد!$C216:$Y216)=0),"",IFERROR(SUMIF(معالجة!$B$3:$X$3,G$2,الرصد!$C216:$Y216)/SUMIF(معالجة!$B$3:$X$3,G$2,معالجة!$B$4:$X$4),""))</f>
        <v/>
      </c>
      <c r="H216" s="51" t="str">
        <f>IF(OR(H$2="",COUNT(الرصد!$C216:$Y216)=0),"",IFERROR(SUMIF(معالجة!$B$3:$X$3,H$2,الرصد!$C216:$Y216)/SUMIF(معالجة!$B$3:$X$3,H$2,معالجة!$B$4:$X$4),""))</f>
        <v/>
      </c>
      <c r="I216" s="51" t="str">
        <f>IF(OR(I$2="",COUNT(الرصد!$C216:$Y216)=0),"",IFERROR(SUMIF(معالجة!$B$3:$X$3,I$2,الرصد!$C216:$Y216)/SUMIF(معالجة!$B$3:$X$3,I$2,معالجة!$B$4:$X$4),""))</f>
        <v/>
      </c>
      <c r="J216" s="51" t="str">
        <f>IF(OR(J$2="",COUNT(الرصد!$C216:$Y216)=0),"",IFERROR(SUMIF(معالجة!$B$3:$X$3,J$2,الرصد!$C216:$Y216)/SUMIF(معالجة!$B$3:$X$3,J$2,معالجة!$B$4:$X$4),""))</f>
        <v/>
      </c>
      <c r="K216" s="51" t="str">
        <f>IF(OR(K$2="",COUNT(الرصد!$C216:$Y216)=0),"",IFERROR(SUMIF(معالجة!$B$3:$X$3,K$2,الرصد!$C216:$Y216)/SUMIF(معالجة!$B$3:$X$3,K$2,معالجة!$B$4:$X$4),""))</f>
        <v/>
      </c>
      <c r="L216" s="51" t="str">
        <f>IF(OR(L$2="",COUNT(الرصد!$C216:$Y216)=0),"",IFERROR(SUMIF(معالجة!$B$3:$X$3,L$2,الرصد!$C216:$Y216)/SUMIF(معالجة!$B$3:$X$3,L$2,معالجة!$B$4:$X$4),""))</f>
        <v/>
      </c>
      <c r="M216" s="51" t="str">
        <f>IF(OR(M$2="",COUNT(الرصد!$C216:$Y216)=0),"",IFERROR(SUMIF(معالجة!$B$3:$X$3,M$2,الرصد!$C216:$Y216)/SUMIF(معالجة!$B$3:$X$3,M$2,معالجة!$B$4:$X$4),""))</f>
        <v/>
      </c>
      <c r="N216" s="51" t="str">
        <f>IF(OR(N$2="",COUNT(الرصد!$C216:$Y216)=0),"",IFERROR(SUMIF(معالجة!$B$3:$X$3,N$2,الرصد!$C216:$Y216)/SUMIF(معالجة!$B$3:$X$3,N$2,معالجة!$B$4:$X$4),""))</f>
        <v/>
      </c>
      <c r="O216" s="51" t="str">
        <f>IF(OR(O$2="",COUNT(الرصد!$C216:$Y216)=0),"",IFERROR(SUMIF(معالجة!$B$3:$X$3,O$2,الرصد!$C216:$Y216)/SUMIF(معالجة!$B$3:$X$3,O$2,معالجة!$B$4:$X$4),""))</f>
        <v/>
      </c>
      <c r="P216" s="51" t="str">
        <f>IF(OR(P$2="",COUNT(الرصد!$C216:$Y216)=0),"",IFERROR(SUMIF(معالجة!$B$3:$X$3,P$2,الرصد!$C216:$Y216)/SUMIF(معالجة!$B$3:$X$3,P$2,معالجة!$B$4:$X$4),""))</f>
        <v/>
      </c>
      <c r="Q216" s="51" t="str">
        <f>IF(OR(Q$2="",COUNT(الرصد!$C216:$Y216)=0),"",IFERROR(SUMIF(معالجة!$B$3:$X$3,Q$2,الرصد!$C216:$Y216)/SUMIF(معالجة!$B$3:$X$3,Q$2,معالجة!$B$4:$X$4),""))</f>
        <v/>
      </c>
      <c r="R216" s="51" t="str">
        <f>IF(OR(R$2="",COUNT(الرصد!$C216:$Y216)=0),"",IFERROR(SUMIF(معالجة!$B$3:$X$3,R$2,الرصد!$C216:$Y216)/SUMIF(معالجة!$B$3:$X$3,R$2,معالجة!$B$4:$X$4),""))</f>
        <v/>
      </c>
      <c r="S216" s="51" t="str">
        <f>IF(OR(S$2="",COUNT(الرصد!$C216:$Y216)=0),"",IFERROR(SUMIF(معالجة!$B$3:$X$3,S$2,الرصد!$C216:$Y216)/SUMIF(معالجة!$B$3:$X$3,S$2,معالجة!$B$4:$X$4),""))</f>
        <v/>
      </c>
      <c r="T216" s="51" t="str">
        <f>IF(OR(T$2="",COUNT(الرصد!$C216:$Y216)=0),"",IFERROR(SUMIF(معالجة!$B$3:$X$3,T$2,الرصد!$C216:$Y216)/SUMIF(معالجة!$B$3:$X$3,T$2,معالجة!$B$4:$X$4),""))</f>
        <v/>
      </c>
      <c r="U216" s="51" t="str">
        <f>IF(OR(U$2="",COUNT(الرصد!$C216:$Y216)=0),"",IFERROR(SUMIF(معالجة!$B$3:$X$3,U$2,الرصد!$C216:$Y216)/SUMIF(معالجة!$B$3:$X$3,U$2,معالجة!$B$4:$X$4),""))</f>
        <v/>
      </c>
      <c r="V216" s="51" t="str">
        <f>IF(OR(V$2="",COUNT(الرصد!$C216:$Y216)=0),"",IFERROR(SUMIF(معالجة!$B$3:$X$3,V$2,الرصد!$C216:$Y216)/SUMIF(معالجة!$B$3:$X$3,V$2,معالجة!$B$4:$X$4),""))</f>
        <v/>
      </c>
      <c r="W216" s="51" t="str">
        <f>IFERROR(C216/المهارات!$G$27,"")</f>
        <v/>
      </c>
    </row>
    <row r="217" spans="1:23" ht="14.25" customHeight="1">
      <c r="A217" s="42" t="s">
        <v>286</v>
      </c>
      <c r="B217" s="42" t="s">
        <v>28</v>
      </c>
      <c r="C217" s="50" t="str">
        <f>IF(COUNT(الرصد!C217:Y217)=0,"",SUM(الرصد!C217:Y217))</f>
        <v/>
      </c>
      <c r="D217" s="51" t="str">
        <f>IF(OR(D$2="",COUNT(الرصد!$C217:$Y217)=0),"",IFERROR(SUMIF(معالجة!$B$3:$X$3,D$2,الرصد!$C217:$Y217)/SUMIF(معالجة!$B$3:$X$3,D$2,معالجة!$B$4:$X$4),""))</f>
        <v/>
      </c>
      <c r="E217" s="51" t="str">
        <f>IF(OR(E$2="",COUNT(الرصد!$C217:$Y217)=0),"",IFERROR(SUMIF(معالجة!$B$3:$X$3,E$2,الرصد!$C217:$Y217)/SUMIF(معالجة!$B$3:$X$3,E$2,معالجة!$B$4:$X$4),""))</f>
        <v/>
      </c>
      <c r="F217" s="51" t="str">
        <f>IF(OR(F$2="",COUNT(الرصد!$C217:$Y217)=0),"",IFERROR(SUMIF(معالجة!$B$3:$X$3,F$2,الرصد!$C217:$Y217)/SUMIF(معالجة!$B$3:$X$3,F$2,معالجة!$B$4:$X$4),""))</f>
        <v/>
      </c>
      <c r="G217" s="51" t="str">
        <f>IF(OR(G$2="",COUNT(الرصد!$C217:$Y217)=0),"",IFERROR(SUMIF(معالجة!$B$3:$X$3,G$2,الرصد!$C217:$Y217)/SUMIF(معالجة!$B$3:$X$3,G$2,معالجة!$B$4:$X$4),""))</f>
        <v/>
      </c>
      <c r="H217" s="51" t="str">
        <f>IF(OR(H$2="",COUNT(الرصد!$C217:$Y217)=0),"",IFERROR(SUMIF(معالجة!$B$3:$X$3,H$2,الرصد!$C217:$Y217)/SUMIF(معالجة!$B$3:$X$3,H$2,معالجة!$B$4:$X$4),""))</f>
        <v/>
      </c>
      <c r="I217" s="51" t="str">
        <f>IF(OR(I$2="",COUNT(الرصد!$C217:$Y217)=0),"",IFERROR(SUMIF(معالجة!$B$3:$X$3,I$2,الرصد!$C217:$Y217)/SUMIF(معالجة!$B$3:$X$3,I$2,معالجة!$B$4:$X$4),""))</f>
        <v/>
      </c>
      <c r="J217" s="51" t="str">
        <f>IF(OR(J$2="",COUNT(الرصد!$C217:$Y217)=0),"",IFERROR(SUMIF(معالجة!$B$3:$X$3,J$2,الرصد!$C217:$Y217)/SUMIF(معالجة!$B$3:$X$3,J$2,معالجة!$B$4:$X$4),""))</f>
        <v/>
      </c>
      <c r="K217" s="51" t="str">
        <f>IF(OR(K$2="",COUNT(الرصد!$C217:$Y217)=0),"",IFERROR(SUMIF(معالجة!$B$3:$X$3,K$2,الرصد!$C217:$Y217)/SUMIF(معالجة!$B$3:$X$3,K$2,معالجة!$B$4:$X$4),""))</f>
        <v/>
      </c>
      <c r="L217" s="51" t="str">
        <f>IF(OR(L$2="",COUNT(الرصد!$C217:$Y217)=0),"",IFERROR(SUMIF(معالجة!$B$3:$X$3,L$2,الرصد!$C217:$Y217)/SUMIF(معالجة!$B$3:$X$3,L$2,معالجة!$B$4:$X$4),""))</f>
        <v/>
      </c>
      <c r="M217" s="51" t="str">
        <f>IF(OR(M$2="",COUNT(الرصد!$C217:$Y217)=0),"",IFERROR(SUMIF(معالجة!$B$3:$X$3,M$2,الرصد!$C217:$Y217)/SUMIF(معالجة!$B$3:$X$3,M$2,معالجة!$B$4:$X$4),""))</f>
        <v/>
      </c>
      <c r="N217" s="51" t="str">
        <f>IF(OR(N$2="",COUNT(الرصد!$C217:$Y217)=0),"",IFERROR(SUMIF(معالجة!$B$3:$X$3,N$2,الرصد!$C217:$Y217)/SUMIF(معالجة!$B$3:$X$3,N$2,معالجة!$B$4:$X$4),""))</f>
        <v/>
      </c>
      <c r="O217" s="51" t="str">
        <f>IF(OR(O$2="",COUNT(الرصد!$C217:$Y217)=0),"",IFERROR(SUMIF(معالجة!$B$3:$X$3,O$2,الرصد!$C217:$Y217)/SUMIF(معالجة!$B$3:$X$3,O$2,معالجة!$B$4:$X$4),""))</f>
        <v/>
      </c>
      <c r="P217" s="51" t="str">
        <f>IF(OR(P$2="",COUNT(الرصد!$C217:$Y217)=0),"",IFERROR(SUMIF(معالجة!$B$3:$X$3,P$2,الرصد!$C217:$Y217)/SUMIF(معالجة!$B$3:$X$3,P$2,معالجة!$B$4:$X$4),""))</f>
        <v/>
      </c>
      <c r="Q217" s="51" t="str">
        <f>IF(OR(Q$2="",COUNT(الرصد!$C217:$Y217)=0),"",IFERROR(SUMIF(معالجة!$B$3:$X$3,Q$2,الرصد!$C217:$Y217)/SUMIF(معالجة!$B$3:$X$3,Q$2,معالجة!$B$4:$X$4),""))</f>
        <v/>
      </c>
      <c r="R217" s="51" t="str">
        <f>IF(OR(R$2="",COUNT(الرصد!$C217:$Y217)=0),"",IFERROR(SUMIF(معالجة!$B$3:$X$3,R$2,الرصد!$C217:$Y217)/SUMIF(معالجة!$B$3:$X$3,R$2,معالجة!$B$4:$X$4),""))</f>
        <v/>
      </c>
      <c r="S217" s="51" t="str">
        <f>IF(OR(S$2="",COUNT(الرصد!$C217:$Y217)=0),"",IFERROR(SUMIF(معالجة!$B$3:$X$3,S$2,الرصد!$C217:$Y217)/SUMIF(معالجة!$B$3:$X$3,S$2,معالجة!$B$4:$X$4),""))</f>
        <v/>
      </c>
      <c r="T217" s="51" t="str">
        <f>IF(OR(T$2="",COUNT(الرصد!$C217:$Y217)=0),"",IFERROR(SUMIF(معالجة!$B$3:$X$3,T$2,الرصد!$C217:$Y217)/SUMIF(معالجة!$B$3:$X$3,T$2,معالجة!$B$4:$X$4),""))</f>
        <v/>
      </c>
      <c r="U217" s="51" t="str">
        <f>IF(OR(U$2="",COUNT(الرصد!$C217:$Y217)=0),"",IFERROR(SUMIF(معالجة!$B$3:$X$3,U$2,الرصد!$C217:$Y217)/SUMIF(معالجة!$B$3:$X$3,U$2,معالجة!$B$4:$X$4),""))</f>
        <v/>
      </c>
      <c r="V217" s="51" t="str">
        <f>IF(OR(V$2="",COUNT(الرصد!$C217:$Y217)=0),"",IFERROR(SUMIF(معالجة!$B$3:$X$3,V$2,الرصد!$C217:$Y217)/SUMIF(معالجة!$B$3:$X$3,V$2,معالجة!$B$4:$X$4),""))</f>
        <v/>
      </c>
      <c r="W217" s="51" t="str">
        <f>IFERROR(C217/المهارات!$G$27,"")</f>
        <v/>
      </c>
    </row>
    <row r="218" spans="1:23" ht="14.25" customHeight="1">
      <c r="A218" s="46" t="s">
        <v>287</v>
      </c>
      <c r="B218" s="46" t="s">
        <v>28</v>
      </c>
      <c r="C218" s="52" t="str">
        <f>IF(COUNT(الرصد!C218:Y218)=0,"",SUM(الرصد!C218:Y218))</f>
        <v/>
      </c>
      <c r="D218" s="51" t="str">
        <f>IF(OR(D$2="",COUNT(الرصد!$C218:$Y218)=0),"",IFERROR(SUMIF(معالجة!$B$3:$X$3,D$2,الرصد!$C218:$Y218)/SUMIF(معالجة!$B$3:$X$3,D$2,معالجة!$B$4:$X$4),""))</f>
        <v/>
      </c>
      <c r="E218" s="51" t="str">
        <f>IF(OR(E$2="",COUNT(الرصد!$C218:$Y218)=0),"",IFERROR(SUMIF(معالجة!$B$3:$X$3,E$2,الرصد!$C218:$Y218)/SUMIF(معالجة!$B$3:$X$3,E$2,معالجة!$B$4:$X$4),""))</f>
        <v/>
      </c>
      <c r="F218" s="51" t="str">
        <f>IF(OR(F$2="",COUNT(الرصد!$C218:$Y218)=0),"",IFERROR(SUMIF(معالجة!$B$3:$X$3,F$2,الرصد!$C218:$Y218)/SUMIF(معالجة!$B$3:$X$3,F$2,معالجة!$B$4:$X$4),""))</f>
        <v/>
      </c>
      <c r="G218" s="51" t="str">
        <f>IF(OR(G$2="",COUNT(الرصد!$C218:$Y218)=0),"",IFERROR(SUMIF(معالجة!$B$3:$X$3,G$2,الرصد!$C218:$Y218)/SUMIF(معالجة!$B$3:$X$3,G$2,معالجة!$B$4:$X$4),""))</f>
        <v/>
      </c>
      <c r="H218" s="51" t="str">
        <f>IF(OR(H$2="",COUNT(الرصد!$C218:$Y218)=0),"",IFERROR(SUMIF(معالجة!$B$3:$X$3,H$2,الرصد!$C218:$Y218)/SUMIF(معالجة!$B$3:$X$3,H$2,معالجة!$B$4:$X$4),""))</f>
        <v/>
      </c>
      <c r="I218" s="51" t="str">
        <f>IF(OR(I$2="",COUNT(الرصد!$C218:$Y218)=0),"",IFERROR(SUMIF(معالجة!$B$3:$X$3,I$2,الرصد!$C218:$Y218)/SUMIF(معالجة!$B$3:$X$3,I$2,معالجة!$B$4:$X$4),""))</f>
        <v/>
      </c>
      <c r="J218" s="51" t="str">
        <f>IF(OR(J$2="",COUNT(الرصد!$C218:$Y218)=0),"",IFERROR(SUMIF(معالجة!$B$3:$X$3,J$2,الرصد!$C218:$Y218)/SUMIF(معالجة!$B$3:$X$3,J$2,معالجة!$B$4:$X$4),""))</f>
        <v/>
      </c>
      <c r="K218" s="51" t="str">
        <f>IF(OR(K$2="",COUNT(الرصد!$C218:$Y218)=0),"",IFERROR(SUMIF(معالجة!$B$3:$X$3,K$2,الرصد!$C218:$Y218)/SUMIF(معالجة!$B$3:$X$3,K$2,معالجة!$B$4:$X$4),""))</f>
        <v/>
      </c>
      <c r="L218" s="51" t="str">
        <f>IF(OR(L$2="",COUNT(الرصد!$C218:$Y218)=0),"",IFERROR(SUMIF(معالجة!$B$3:$X$3,L$2,الرصد!$C218:$Y218)/SUMIF(معالجة!$B$3:$X$3,L$2,معالجة!$B$4:$X$4),""))</f>
        <v/>
      </c>
      <c r="M218" s="51" t="str">
        <f>IF(OR(M$2="",COUNT(الرصد!$C218:$Y218)=0),"",IFERROR(SUMIF(معالجة!$B$3:$X$3,M$2,الرصد!$C218:$Y218)/SUMIF(معالجة!$B$3:$X$3,M$2,معالجة!$B$4:$X$4),""))</f>
        <v/>
      </c>
      <c r="N218" s="51" t="str">
        <f>IF(OR(N$2="",COUNT(الرصد!$C218:$Y218)=0),"",IFERROR(SUMIF(معالجة!$B$3:$X$3,N$2,الرصد!$C218:$Y218)/SUMIF(معالجة!$B$3:$X$3,N$2,معالجة!$B$4:$X$4),""))</f>
        <v/>
      </c>
      <c r="O218" s="51" t="str">
        <f>IF(OR(O$2="",COUNT(الرصد!$C218:$Y218)=0),"",IFERROR(SUMIF(معالجة!$B$3:$X$3,O$2,الرصد!$C218:$Y218)/SUMIF(معالجة!$B$3:$X$3,O$2,معالجة!$B$4:$X$4),""))</f>
        <v/>
      </c>
      <c r="P218" s="51" t="str">
        <f>IF(OR(P$2="",COUNT(الرصد!$C218:$Y218)=0),"",IFERROR(SUMIF(معالجة!$B$3:$X$3,P$2,الرصد!$C218:$Y218)/SUMIF(معالجة!$B$3:$X$3,P$2,معالجة!$B$4:$X$4),""))</f>
        <v/>
      </c>
      <c r="Q218" s="51" t="str">
        <f>IF(OR(Q$2="",COUNT(الرصد!$C218:$Y218)=0),"",IFERROR(SUMIF(معالجة!$B$3:$X$3,Q$2,الرصد!$C218:$Y218)/SUMIF(معالجة!$B$3:$X$3,Q$2,معالجة!$B$4:$X$4),""))</f>
        <v/>
      </c>
      <c r="R218" s="51" t="str">
        <f>IF(OR(R$2="",COUNT(الرصد!$C218:$Y218)=0),"",IFERROR(SUMIF(معالجة!$B$3:$X$3,R$2,الرصد!$C218:$Y218)/SUMIF(معالجة!$B$3:$X$3,R$2,معالجة!$B$4:$X$4),""))</f>
        <v/>
      </c>
      <c r="S218" s="51" t="str">
        <f>IF(OR(S$2="",COUNT(الرصد!$C218:$Y218)=0),"",IFERROR(SUMIF(معالجة!$B$3:$X$3,S$2,الرصد!$C218:$Y218)/SUMIF(معالجة!$B$3:$X$3,S$2,معالجة!$B$4:$X$4),""))</f>
        <v/>
      </c>
      <c r="T218" s="51" t="str">
        <f>IF(OR(T$2="",COUNT(الرصد!$C218:$Y218)=0),"",IFERROR(SUMIF(معالجة!$B$3:$X$3,T$2,الرصد!$C218:$Y218)/SUMIF(معالجة!$B$3:$X$3,T$2,معالجة!$B$4:$X$4),""))</f>
        <v/>
      </c>
      <c r="U218" s="51" t="str">
        <f>IF(OR(U$2="",COUNT(الرصد!$C218:$Y218)=0),"",IFERROR(SUMIF(معالجة!$B$3:$X$3,U$2,الرصد!$C218:$Y218)/SUMIF(معالجة!$B$3:$X$3,U$2,معالجة!$B$4:$X$4),""))</f>
        <v/>
      </c>
      <c r="V218" s="51" t="str">
        <f>IF(OR(V$2="",COUNT(الرصد!$C218:$Y218)=0),"",IFERROR(SUMIF(معالجة!$B$3:$X$3,V$2,الرصد!$C218:$Y218)/SUMIF(معالجة!$B$3:$X$3,V$2,معالجة!$B$4:$X$4),""))</f>
        <v/>
      </c>
      <c r="W218" s="51" t="str">
        <f>IFERROR(C218/المهارات!$G$27,"")</f>
        <v/>
      </c>
    </row>
    <row r="219" spans="1:23" ht="14.25" customHeight="1">
      <c r="A219" s="42" t="s">
        <v>288</v>
      </c>
      <c r="B219" s="42" t="s">
        <v>28</v>
      </c>
      <c r="C219" s="50" t="str">
        <f>IF(COUNT(الرصد!C219:Y219)=0,"",SUM(الرصد!C219:Y219))</f>
        <v/>
      </c>
      <c r="D219" s="51" t="str">
        <f>IF(OR(D$2="",COUNT(الرصد!$C219:$Y219)=0),"",IFERROR(SUMIF(معالجة!$B$3:$X$3,D$2,الرصد!$C219:$Y219)/SUMIF(معالجة!$B$3:$X$3,D$2,معالجة!$B$4:$X$4),""))</f>
        <v/>
      </c>
      <c r="E219" s="51" t="str">
        <f>IF(OR(E$2="",COUNT(الرصد!$C219:$Y219)=0),"",IFERROR(SUMIF(معالجة!$B$3:$X$3,E$2,الرصد!$C219:$Y219)/SUMIF(معالجة!$B$3:$X$3,E$2,معالجة!$B$4:$X$4),""))</f>
        <v/>
      </c>
      <c r="F219" s="51" t="str">
        <f>IF(OR(F$2="",COUNT(الرصد!$C219:$Y219)=0),"",IFERROR(SUMIF(معالجة!$B$3:$X$3,F$2,الرصد!$C219:$Y219)/SUMIF(معالجة!$B$3:$X$3,F$2,معالجة!$B$4:$X$4),""))</f>
        <v/>
      </c>
      <c r="G219" s="51" t="str">
        <f>IF(OR(G$2="",COUNT(الرصد!$C219:$Y219)=0),"",IFERROR(SUMIF(معالجة!$B$3:$X$3,G$2,الرصد!$C219:$Y219)/SUMIF(معالجة!$B$3:$X$3,G$2,معالجة!$B$4:$X$4),""))</f>
        <v/>
      </c>
      <c r="H219" s="51" t="str">
        <f>IF(OR(H$2="",COUNT(الرصد!$C219:$Y219)=0),"",IFERROR(SUMIF(معالجة!$B$3:$X$3,H$2,الرصد!$C219:$Y219)/SUMIF(معالجة!$B$3:$X$3,H$2,معالجة!$B$4:$X$4),""))</f>
        <v/>
      </c>
      <c r="I219" s="51" t="str">
        <f>IF(OR(I$2="",COUNT(الرصد!$C219:$Y219)=0),"",IFERROR(SUMIF(معالجة!$B$3:$X$3,I$2,الرصد!$C219:$Y219)/SUMIF(معالجة!$B$3:$X$3,I$2,معالجة!$B$4:$X$4),""))</f>
        <v/>
      </c>
      <c r="J219" s="51" t="str">
        <f>IF(OR(J$2="",COUNT(الرصد!$C219:$Y219)=0),"",IFERROR(SUMIF(معالجة!$B$3:$X$3,J$2,الرصد!$C219:$Y219)/SUMIF(معالجة!$B$3:$X$3,J$2,معالجة!$B$4:$X$4),""))</f>
        <v/>
      </c>
      <c r="K219" s="51" t="str">
        <f>IF(OR(K$2="",COUNT(الرصد!$C219:$Y219)=0),"",IFERROR(SUMIF(معالجة!$B$3:$X$3,K$2,الرصد!$C219:$Y219)/SUMIF(معالجة!$B$3:$X$3,K$2,معالجة!$B$4:$X$4),""))</f>
        <v/>
      </c>
      <c r="L219" s="51" t="str">
        <f>IF(OR(L$2="",COUNT(الرصد!$C219:$Y219)=0),"",IFERROR(SUMIF(معالجة!$B$3:$X$3,L$2,الرصد!$C219:$Y219)/SUMIF(معالجة!$B$3:$X$3,L$2,معالجة!$B$4:$X$4),""))</f>
        <v/>
      </c>
      <c r="M219" s="51" t="str">
        <f>IF(OR(M$2="",COUNT(الرصد!$C219:$Y219)=0),"",IFERROR(SUMIF(معالجة!$B$3:$X$3,M$2,الرصد!$C219:$Y219)/SUMIF(معالجة!$B$3:$X$3,M$2,معالجة!$B$4:$X$4),""))</f>
        <v/>
      </c>
      <c r="N219" s="51" t="str">
        <f>IF(OR(N$2="",COUNT(الرصد!$C219:$Y219)=0),"",IFERROR(SUMIF(معالجة!$B$3:$X$3,N$2,الرصد!$C219:$Y219)/SUMIF(معالجة!$B$3:$X$3,N$2,معالجة!$B$4:$X$4),""))</f>
        <v/>
      </c>
      <c r="O219" s="51" t="str">
        <f>IF(OR(O$2="",COUNT(الرصد!$C219:$Y219)=0),"",IFERROR(SUMIF(معالجة!$B$3:$X$3,O$2,الرصد!$C219:$Y219)/SUMIF(معالجة!$B$3:$X$3,O$2,معالجة!$B$4:$X$4),""))</f>
        <v/>
      </c>
      <c r="P219" s="51" t="str">
        <f>IF(OR(P$2="",COUNT(الرصد!$C219:$Y219)=0),"",IFERROR(SUMIF(معالجة!$B$3:$X$3,P$2,الرصد!$C219:$Y219)/SUMIF(معالجة!$B$3:$X$3,P$2,معالجة!$B$4:$X$4),""))</f>
        <v/>
      </c>
      <c r="Q219" s="51" t="str">
        <f>IF(OR(Q$2="",COUNT(الرصد!$C219:$Y219)=0),"",IFERROR(SUMIF(معالجة!$B$3:$X$3,Q$2,الرصد!$C219:$Y219)/SUMIF(معالجة!$B$3:$X$3,Q$2,معالجة!$B$4:$X$4),""))</f>
        <v/>
      </c>
      <c r="R219" s="51" t="str">
        <f>IF(OR(R$2="",COUNT(الرصد!$C219:$Y219)=0),"",IFERROR(SUMIF(معالجة!$B$3:$X$3,R$2,الرصد!$C219:$Y219)/SUMIF(معالجة!$B$3:$X$3,R$2,معالجة!$B$4:$X$4),""))</f>
        <v/>
      </c>
      <c r="S219" s="51" t="str">
        <f>IF(OR(S$2="",COUNT(الرصد!$C219:$Y219)=0),"",IFERROR(SUMIF(معالجة!$B$3:$X$3,S$2,الرصد!$C219:$Y219)/SUMIF(معالجة!$B$3:$X$3,S$2,معالجة!$B$4:$X$4),""))</f>
        <v/>
      </c>
      <c r="T219" s="51" t="str">
        <f>IF(OR(T$2="",COUNT(الرصد!$C219:$Y219)=0),"",IFERROR(SUMIF(معالجة!$B$3:$X$3,T$2,الرصد!$C219:$Y219)/SUMIF(معالجة!$B$3:$X$3,T$2,معالجة!$B$4:$X$4),""))</f>
        <v/>
      </c>
      <c r="U219" s="51" t="str">
        <f>IF(OR(U$2="",COUNT(الرصد!$C219:$Y219)=0),"",IFERROR(SUMIF(معالجة!$B$3:$X$3,U$2,الرصد!$C219:$Y219)/SUMIF(معالجة!$B$3:$X$3,U$2,معالجة!$B$4:$X$4),""))</f>
        <v/>
      </c>
      <c r="V219" s="51" t="str">
        <f>IF(OR(V$2="",COUNT(الرصد!$C219:$Y219)=0),"",IFERROR(SUMIF(معالجة!$B$3:$X$3,V$2,الرصد!$C219:$Y219)/SUMIF(معالجة!$B$3:$X$3,V$2,معالجة!$B$4:$X$4),""))</f>
        <v/>
      </c>
      <c r="W219" s="51" t="str">
        <f>IFERROR(C219/المهارات!$G$27,"")</f>
        <v/>
      </c>
    </row>
    <row r="220" spans="1:23" ht="14.25" customHeight="1">
      <c r="A220" s="46" t="s">
        <v>289</v>
      </c>
      <c r="B220" s="46" t="s">
        <v>28</v>
      </c>
      <c r="C220" s="52" t="str">
        <f>IF(COUNT(الرصد!C220:Y220)=0,"",SUM(الرصد!C220:Y220))</f>
        <v/>
      </c>
      <c r="D220" s="51" t="str">
        <f>IF(OR(D$2="",COUNT(الرصد!$C220:$Y220)=0),"",IFERROR(SUMIF(معالجة!$B$3:$X$3,D$2,الرصد!$C220:$Y220)/SUMIF(معالجة!$B$3:$X$3,D$2,معالجة!$B$4:$X$4),""))</f>
        <v/>
      </c>
      <c r="E220" s="51" t="str">
        <f>IF(OR(E$2="",COUNT(الرصد!$C220:$Y220)=0),"",IFERROR(SUMIF(معالجة!$B$3:$X$3,E$2,الرصد!$C220:$Y220)/SUMIF(معالجة!$B$3:$X$3,E$2,معالجة!$B$4:$X$4),""))</f>
        <v/>
      </c>
      <c r="F220" s="51" t="str">
        <f>IF(OR(F$2="",COUNT(الرصد!$C220:$Y220)=0),"",IFERROR(SUMIF(معالجة!$B$3:$X$3,F$2,الرصد!$C220:$Y220)/SUMIF(معالجة!$B$3:$X$3,F$2,معالجة!$B$4:$X$4),""))</f>
        <v/>
      </c>
      <c r="G220" s="51" t="str">
        <f>IF(OR(G$2="",COUNT(الرصد!$C220:$Y220)=0),"",IFERROR(SUMIF(معالجة!$B$3:$X$3,G$2,الرصد!$C220:$Y220)/SUMIF(معالجة!$B$3:$X$3,G$2,معالجة!$B$4:$X$4),""))</f>
        <v/>
      </c>
      <c r="H220" s="51" t="str">
        <f>IF(OR(H$2="",COUNT(الرصد!$C220:$Y220)=0),"",IFERROR(SUMIF(معالجة!$B$3:$X$3,H$2,الرصد!$C220:$Y220)/SUMIF(معالجة!$B$3:$X$3,H$2,معالجة!$B$4:$X$4),""))</f>
        <v/>
      </c>
      <c r="I220" s="51" t="str">
        <f>IF(OR(I$2="",COUNT(الرصد!$C220:$Y220)=0),"",IFERROR(SUMIF(معالجة!$B$3:$X$3,I$2,الرصد!$C220:$Y220)/SUMIF(معالجة!$B$3:$X$3,I$2,معالجة!$B$4:$X$4),""))</f>
        <v/>
      </c>
      <c r="J220" s="51" t="str">
        <f>IF(OR(J$2="",COUNT(الرصد!$C220:$Y220)=0),"",IFERROR(SUMIF(معالجة!$B$3:$X$3,J$2,الرصد!$C220:$Y220)/SUMIF(معالجة!$B$3:$X$3,J$2,معالجة!$B$4:$X$4),""))</f>
        <v/>
      </c>
      <c r="K220" s="51" t="str">
        <f>IF(OR(K$2="",COUNT(الرصد!$C220:$Y220)=0),"",IFERROR(SUMIF(معالجة!$B$3:$X$3,K$2,الرصد!$C220:$Y220)/SUMIF(معالجة!$B$3:$X$3,K$2,معالجة!$B$4:$X$4),""))</f>
        <v/>
      </c>
      <c r="L220" s="51" t="str">
        <f>IF(OR(L$2="",COUNT(الرصد!$C220:$Y220)=0),"",IFERROR(SUMIF(معالجة!$B$3:$X$3,L$2,الرصد!$C220:$Y220)/SUMIF(معالجة!$B$3:$X$3,L$2,معالجة!$B$4:$X$4),""))</f>
        <v/>
      </c>
      <c r="M220" s="51" t="str">
        <f>IF(OR(M$2="",COUNT(الرصد!$C220:$Y220)=0),"",IFERROR(SUMIF(معالجة!$B$3:$X$3,M$2,الرصد!$C220:$Y220)/SUMIF(معالجة!$B$3:$X$3,M$2,معالجة!$B$4:$X$4),""))</f>
        <v/>
      </c>
      <c r="N220" s="51" t="str">
        <f>IF(OR(N$2="",COUNT(الرصد!$C220:$Y220)=0),"",IFERROR(SUMIF(معالجة!$B$3:$X$3,N$2,الرصد!$C220:$Y220)/SUMIF(معالجة!$B$3:$X$3,N$2,معالجة!$B$4:$X$4),""))</f>
        <v/>
      </c>
      <c r="O220" s="51" t="str">
        <f>IF(OR(O$2="",COUNT(الرصد!$C220:$Y220)=0),"",IFERROR(SUMIF(معالجة!$B$3:$X$3,O$2,الرصد!$C220:$Y220)/SUMIF(معالجة!$B$3:$X$3,O$2,معالجة!$B$4:$X$4),""))</f>
        <v/>
      </c>
      <c r="P220" s="51" t="str">
        <f>IF(OR(P$2="",COUNT(الرصد!$C220:$Y220)=0),"",IFERROR(SUMIF(معالجة!$B$3:$X$3,P$2,الرصد!$C220:$Y220)/SUMIF(معالجة!$B$3:$X$3,P$2,معالجة!$B$4:$X$4),""))</f>
        <v/>
      </c>
      <c r="Q220" s="51" t="str">
        <f>IF(OR(Q$2="",COUNT(الرصد!$C220:$Y220)=0),"",IFERROR(SUMIF(معالجة!$B$3:$X$3,Q$2,الرصد!$C220:$Y220)/SUMIF(معالجة!$B$3:$X$3,Q$2,معالجة!$B$4:$X$4),""))</f>
        <v/>
      </c>
      <c r="R220" s="51" t="str">
        <f>IF(OR(R$2="",COUNT(الرصد!$C220:$Y220)=0),"",IFERROR(SUMIF(معالجة!$B$3:$X$3,R$2,الرصد!$C220:$Y220)/SUMIF(معالجة!$B$3:$X$3,R$2,معالجة!$B$4:$X$4),""))</f>
        <v/>
      </c>
      <c r="S220" s="51" t="str">
        <f>IF(OR(S$2="",COUNT(الرصد!$C220:$Y220)=0),"",IFERROR(SUMIF(معالجة!$B$3:$X$3,S$2,الرصد!$C220:$Y220)/SUMIF(معالجة!$B$3:$X$3,S$2,معالجة!$B$4:$X$4),""))</f>
        <v/>
      </c>
      <c r="T220" s="51" t="str">
        <f>IF(OR(T$2="",COUNT(الرصد!$C220:$Y220)=0),"",IFERROR(SUMIF(معالجة!$B$3:$X$3,T$2,الرصد!$C220:$Y220)/SUMIF(معالجة!$B$3:$X$3,T$2,معالجة!$B$4:$X$4),""))</f>
        <v/>
      </c>
      <c r="U220" s="51" t="str">
        <f>IF(OR(U$2="",COUNT(الرصد!$C220:$Y220)=0),"",IFERROR(SUMIF(معالجة!$B$3:$X$3,U$2,الرصد!$C220:$Y220)/SUMIF(معالجة!$B$3:$X$3,U$2,معالجة!$B$4:$X$4),""))</f>
        <v/>
      </c>
      <c r="V220" s="51" t="str">
        <f>IF(OR(V$2="",COUNT(الرصد!$C220:$Y220)=0),"",IFERROR(SUMIF(معالجة!$B$3:$X$3,V$2,الرصد!$C220:$Y220)/SUMIF(معالجة!$B$3:$X$3,V$2,معالجة!$B$4:$X$4),""))</f>
        <v/>
      </c>
      <c r="W220" s="51" t="str">
        <f>IFERROR(C220/المهارات!$G$27,"")</f>
        <v/>
      </c>
    </row>
    <row r="221" spans="1:23" ht="14.25" customHeight="1">
      <c r="A221" s="42" t="s">
        <v>290</v>
      </c>
      <c r="B221" s="42" t="s">
        <v>28</v>
      </c>
      <c r="C221" s="50" t="str">
        <f>IF(COUNT(الرصد!C221:Y221)=0,"",SUM(الرصد!C221:Y221))</f>
        <v/>
      </c>
      <c r="D221" s="51" t="str">
        <f>IF(OR(D$2="",COUNT(الرصد!$C221:$Y221)=0),"",IFERROR(SUMIF(معالجة!$B$3:$X$3,D$2,الرصد!$C221:$Y221)/SUMIF(معالجة!$B$3:$X$3,D$2,معالجة!$B$4:$X$4),""))</f>
        <v/>
      </c>
      <c r="E221" s="51" t="str">
        <f>IF(OR(E$2="",COUNT(الرصد!$C221:$Y221)=0),"",IFERROR(SUMIF(معالجة!$B$3:$X$3,E$2,الرصد!$C221:$Y221)/SUMIF(معالجة!$B$3:$X$3,E$2,معالجة!$B$4:$X$4),""))</f>
        <v/>
      </c>
      <c r="F221" s="51" t="str">
        <f>IF(OR(F$2="",COUNT(الرصد!$C221:$Y221)=0),"",IFERROR(SUMIF(معالجة!$B$3:$X$3,F$2,الرصد!$C221:$Y221)/SUMIF(معالجة!$B$3:$X$3,F$2,معالجة!$B$4:$X$4),""))</f>
        <v/>
      </c>
      <c r="G221" s="51" t="str">
        <f>IF(OR(G$2="",COUNT(الرصد!$C221:$Y221)=0),"",IFERROR(SUMIF(معالجة!$B$3:$X$3,G$2,الرصد!$C221:$Y221)/SUMIF(معالجة!$B$3:$X$3,G$2,معالجة!$B$4:$X$4),""))</f>
        <v/>
      </c>
      <c r="H221" s="51" t="str">
        <f>IF(OR(H$2="",COUNT(الرصد!$C221:$Y221)=0),"",IFERROR(SUMIF(معالجة!$B$3:$X$3,H$2,الرصد!$C221:$Y221)/SUMIF(معالجة!$B$3:$X$3,H$2,معالجة!$B$4:$X$4),""))</f>
        <v/>
      </c>
      <c r="I221" s="51" t="str">
        <f>IF(OR(I$2="",COUNT(الرصد!$C221:$Y221)=0),"",IFERROR(SUMIF(معالجة!$B$3:$X$3,I$2,الرصد!$C221:$Y221)/SUMIF(معالجة!$B$3:$X$3,I$2,معالجة!$B$4:$X$4),""))</f>
        <v/>
      </c>
      <c r="J221" s="51" t="str">
        <f>IF(OR(J$2="",COUNT(الرصد!$C221:$Y221)=0),"",IFERROR(SUMIF(معالجة!$B$3:$X$3,J$2,الرصد!$C221:$Y221)/SUMIF(معالجة!$B$3:$X$3,J$2,معالجة!$B$4:$X$4),""))</f>
        <v/>
      </c>
      <c r="K221" s="51" t="str">
        <f>IF(OR(K$2="",COUNT(الرصد!$C221:$Y221)=0),"",IFERROR(SUMIF(معالجة!$B$3:$X$3,K$2,الرصد!$C221:$Y221)/SUMIF(معالجة!$B$3:$X$3,K$2,معالجة!$B$4:$X$4),""))</f>
        <v/>
      </c>
      <c r="L221" s="51" t="str">
        <f>IF(OR(L$2="",COUNT(الرصد!$C221:$Y221)=0),"",IFERROR(SUMIF(معالجة!$B$3:$X$3,L$2,الرصد!$C221:$Y221)/SUMIF(معالجة!$B$3:$X$3,L$2,معالجة!$B$4:$X$4),""))</f>
        <v/>
      </c>
      <c r="M221" s="51" t="str">
        <f>IF(OR(M$2="",COUNT(الرصد!$C221:$Y221)=0),"",IFERROR(SUMIF(معالجة!$B$3:$X$3,M$2,الرصد!$C221:$Y221)/SUMIF(معالجة!$B$3:$X$3,M$2,معالجة!$B$4:$X$4),""))</f>
        <v/>
      </c>
      <c r="N221" s="51" t="str">
        <f>IF(OR(N$2="",COUNT(الرصد!$C221:$Y221)=0),"",IFERROR(SUMIF(معالجة!$B$3:$X$3,N$2,الرصد!$C221:$Y221)/SUMIF(معالجة!$B$3:$X$3,N$2,معالجة!$B$4:$X$4),""))</f>
        <v/>
      </c>
      <c r="O221" s="51" t="str">
        <f>IF(OR(O$2="",COUNT(الرصد!$C221:$Y221)=0),"",IFERROR(SUMIF(معالجة!$B$3:$X$3,O$2,الرصد!$C221:$Y221)/SUMIF(معالجة!$B$3:$X$3,O$2,معالجة!$B$4:$X$4),""))</f>
        <v/>
      </c>
      <c r="P221" s="51" t="str">
        <f>IF(OR(P$2="",COUNT(الرصد!$C221:$Y221)=0),"",IFERROR(SUMIF(معالجة!$B$3:$X$3,P$2,الرصد!$C221:$Y221)/SUMIF(معالجة!$B$3:$X$3,P$2,معالجة!$B$4:$X$4),""))</f>
        <v/>
      </c>
      <c r="Q221" s="51" t="str">
        <f>IF(OR(Q$2="",COUNT(الرصد!$C221:$Y221)=0),"",IFERROR(SUMIF(معالجة!$B$3:$X$3,Q$2,الرصد!$C221:$Y221)/SUMIF(معالجة!$B$3:$X$3,Q$2,معالجة!$B$4:$X$4),""))</f>
        <v/>
      </c>
      <c r="R221" s="51" t="str">
        <f>IF(OR(R$2="",COUNT(الرصد!$C221:$Y221)=0),"",IFERROR(SUMIF(معالجة!$B$3:$X$3,R$2,الرصد!$C221:$Y221)/SUMIF(معالجة!$B$3:$X$3,R$2,معالجة!$B$4:$X$4),""))</f>
        <v/>
      </c>
      <c r="S221" s="51" t="str">
        <f>IF(OR(S$2="",COUNT(الرصد!$C221:$Y221)=0),"",IFERROR(SUMIF(معالجة!$B$3:$X$3,S$2,الرصد!$C221:$Y221)/SUMIF(معالجة!$B$3:$X$3,S$2,معالجة!$B$4:$X$4),""))</f>
        <v/>
      </c>
      <c r="T221" s="51" t="str">
        <f>IF(OR(T$2="",COUNT(الرصد!$C221:$Y221)=0),"",IFERROR(SUMIF(معالجة!$B$3:$X$3,T$2,الرصد!$C221:$Y221)/SUMIF(معالجة!$B$3:$X$3,T$2,معالجة!$B$4:$X$4),""))</f>
        <v/>
      </c>
      <c r="U221" s="51" t="str">
        <f>IF(OR(U$2="",COUNT(الرصد!$C221:$Y221)=0),"",IFERROR(SUMIF(معالجة!$B$3:$X$3,U$2,الرصد!$C221:$Y221)/SUMIF(معالجة!$B$3:$X$3,U$2,معالجة!$B$4:$X$4),""))</f>
        <v/>
      </c>
      <c r="V221" s="51" t="str">
        <f>IF(OR(V$2="",COUNT(الرصد!$C221:$Y221)=0),"",IFERROR(SUMIF(معالجة!$B$3:$X$3,V$2,الرصد!$C221:$Y221)/SUMIF(معالجة!$B$3:$X$3,V$2,معالجة!$B$4:$X$4),""))</f>
        <v/>
      </c>
      <c r="W221" s="51" t="str">
        <f>IFERROR(C221/المهارات!$G$27,"")</f>
        <v/>
      </c>
    </row>
    <row r="222" spans="1:23" ht="14.25" customHeight="1">
      <c r="A222" s="46" t="s">
        <v>291</v>
      </c>
      <c r="B222" s="46" t="s">
        <v>28</v>
      </c>
      <c r="C222" s="52" t="str">
        <f>IF(COUNT(الرصد!C222:Y222)=0,"",SUM(الرصد!C222:Y222))</f>
        <v/>
      </c>
      <c r="D222" s="51" t="str">
        <f>IF(OR(D$2="",COUNT(الرصد!$C222:$Y222)=0),"",IFERROR(SUMIF(معالجة!$B$3:$X$3,D$2,الرصد!$C222:$Y222)/SUMIF(معالجة!$B$3:$X$3,D$2,معالجة!$B$4:$X$4),""))</f>
        <v/>
      </c>
      <c r="E222" s="51" t="str">
        <f>IF(OR(E$2="",COUNT(الرصد!$C222:$Y222)=0),"",IFERROR(SUMIF(معالجة!$B$3:$X$3,E$2,الرصد!$C222:$Y222)/SUMIF(معالجة!$B$3:$X$3,E$2,معالجة!$B$4:$X$4),""))</f>
        <v/>
      </c>
      <c r="F222" s="51" t="str">
        <f>IF(OR(F$2="",COUNT(الرصد!$C222:$Y222)=0),"",IFERROR(SUMIF(معالجة!$B$3:$X$3,F$2,الرصد!$C222:$Y222)/SUMIF(معالجة!$B$3:$X$3,F$2,معالجة!$B$4:$X$4),""))</f>
        <v/>
      </c>
      <c r="G222" s="51" t="str">
        <f>IF(OR(G$2="",COUNT(الرصد!$C222:$Y222)=0),"",IFERROR(SUMIF(معالجة!$B$3:$X$3,G$2,الرصد!$C222:$Y222)/SUMIF(معالجة!$B$3:$X$3,G$2,معالجة!$B$4:$X$4),""))</f>
        <v/>
      </c>
      <c r="H222" s="51" t="str">
        <f>IF(OR(H$2="",COUNT(الرصد!$C222:$Y222)=0),"",IFERROR(SUMIF(معالجة!$B$3:$X$3,H$2,الرصد!$C222:$Y222)/SUMIF(معالجة!$B$3:$X$3,H$2,معالجة!$B$4:$X$4),""))</f>
        <v/>
      </c>
      <c r="I222" s="51" t="str">
        <f>IF(OR(I$2="",COUNT(الرصد!$C222:$Y222)=0),"",IFERROR(SUMIF(معالجة!$B$3:$X$3,I$2,الرصد!$C222:$Y222)/SUMIF(معالجة!$B$3:$X$3,I$2,معالجة!$B$4:$X$4),""))</f>
        <v/>
      </c>
      <c r="J222" s="51" t="str">
        <f>IF(OR(J$2="",COUNT(الرصد!$C222:$Y222)=0),"",IFERROR(SUMIF(معالجة!$B$3:$X$3,J$2,الرصد!$C222:$Y222)/SUMIF(معالجة!$B$3:$X$3,J$2,معالجة!$B$4:$X$4),""))</f>
        <v/>
      </c>
      <c r="K222" s="51" t="str">
        <f>IF(OR(K$2="",COUNT(الرصد!$C222:$Y222)=0),"",IFERROR(SUMIF(معالجة!$B$3:$X$3,K$2,الرصد!$C222:$Y222)/SUMIF(معالجة!$B$3:$X$3,K$2,معالجة!$B$4:$X$4),""))</f>
        <v/>
      </c>
      <c r="L222" s="51" t="str">
        <f>IF(OR(L$2="",COUNT(الرصد!$C222:$Y222)=0),"",IFERROR(SUMIF(معالجة!$B$3:$X$3,L$2,الرصد!$C222:$Y222)/SUMIF(معالجة!$B$3:$X$3,L$2,معالجة!$B$4:$X$4),""))</f>
        <v/>
      </c>
      <c r="M222" s="51" t="str">
        <f>IF(OR(M$2="",COUNT(الرصد!$C222:$Y222)=0),"",IFERROR(SUMIF(معالجة!$B$3:$X$3,M$2,الرصد!$C222:$Y222)/SUMIF(معالجة!$B$3:$X$3,M$2,معالجة!$B$4:$X$4),""))</f>
        <v/>
      </c>
      <c r="N222" s="51" t="str">
        <f>IF(OR(N$2="",COUNT(الرصد!$C222:$Y222)=0),"",IFERROR(SUMIF(معالجة!$B$3:$X$3,N$2,الرصد!$C222:$Y222)/SUMIF(معالجة!$B$3:$X$3,N$2,معالجة!$B$4:$X$4),""))</f>
        <v/>
      </c>
      <c r="O222" s="51" t="str">
        <f>IF(OR(O$2="",COUNT(الرصد!$C222:$Y222)=0),"",IFERROR(SUMIF(معالجة!$B$3:$X$3,O$2,الرصد!$C222:$Y222)/SUMIF(معالجة!$B$3:$X$3,O$2,معالجة!$B$4:$X$4),""))</f>
        <v/>
      </c>
      <c r="P222" s="51" t="str">
        <f>IF(OR(P$2="",COUNT(الرصد!$C222:$Y222)=0),"",IFERROR(SUMIF(معالجة!$B$3:$X$3,P$2,الرصد!$C222:$Y222)/SUMIF(معالجة!$B$3:$X$3,P$2,معالجة!$B$4:$X$4),""))</f>
        <v/>
      </c>
      <c r="Q222" s="51" t="str">
        <f>IF(OR(Q$2="",COUNT(الرصد!$C222:$Y222)=0),"",IFERROR(SUMIF(معالجة!$B$3:$X$3,Q$2,الرصد!$C222:$Y222)/SUMIF(معالجة!$B$3:$X$3,Q$2,معالجة!$B$4:$X$4),""))</f>
        <v/>
      </c>
      <c r="R222" s="51" t="str">
        <f>IF(OR(R$2="",COUNT(الرصد!$C222:$Y222)=0),"",IFERROR(SUMIF(معالجة!$B$3:$X$3,R$2,الرصد!$C222:$Y222)/SUMIF(معالجة!$B$3:$X$3,R$2,معالجة!$B$4:$X$4),""))</f>
        <v/>
      </c>
      <c r="S222" s="51" t="str">
        <f>IF(OR(S$2="",COUNT(الرصد!$C222:$Y222)=0),"",IFERROR(SUMIF(معالجة!$B$3:$X$3,S$2,الرصد!$C222:$Y222)/SUMIF(معالجة!$B$3:$X$3,S$2,معالجة!$B$4:$X$4),""))</f>
        <v/>
      </c>
      <c r="T222" s="51" t="str">
        <f>IF(OR(T$2="",COUNT(الرصد!$C222:$Y222)=0),"",IFERROR(SUMIF(معالجة!$B$3:$X$3,T$2,الرصد!$C222:$Y222)/SUMIF(معالجة!$B$3:$X$3,T$2,معالجة!$B$4:$X$4),""))</f>
        <v/>
      </c>
      <c r="U222" s="51" t="str">
        <f>IF(OR(U$2="",COUNT(الرصد!$C222:$Y222)=0),"",IFERROR(SUMIF(معالجة!$B$3:$X$3,U$2,الرصد!$C222:$Y222)/SUMIF(معالجة!$B$3:$X$3,U$2,معالجة!$B$4:$X$4),""))</f>
        <v/>
      </c>
      <c r="V222" s="51" t="str">
        <f>IF(OR(V$2="",COUNT(الرصد!$C222:$Y222)=0),"",IFERROR(SUMIF(معالجة!$B$3:$X$3,V$2,الرصد!$C222:$Y222)/SUMIF(معالجة!$B$3:$X$3,V$2,معالجة!$B$4:$X$4),""))</f>
        <v/>
      </c>
      <c r="W222" s="51" t="str">
        <f>IFERROR(C222/المهارات!$G$27,"")</f>
        <v/>
      </c>
    </row>
    <row r="223" spans="1:23" ht="14.25" customHeight="1">
      <c r="A223" s="42"/>
      <c r="B223" s="42"/>
      <c r="C223" s="42">
        <f>SUM(الرصد!C223:Y223)</f>
        <v>0</v>
      </c>
    </row>
  </sheetData>
  <sheetProtection algorithmName="SHA-512" hashValue="WuArXM+SgLXFj/H5IONxtM4TccRap0ekWlL0xqE2hPcTf51J0kCDhW95FCTU7+5qHQFHusUJFEhJLe3koGpSFA==" saltValue="xW2JpjAnE2bdW/PNyJnrcQ==" spinCount="100000" sheet="1" objects="1" scenarios="1"/>
  <mergeCells count="5">
    <mergeCell ref="A1:A2"/>
    <mergeCell ref="B1:B2"/>
    <mergeCell ref="C1:C2"/>
    <mergeCell ref="D1:N1"/>
    <mergeCell ref="W1:W2"/>
  </mergeCells>
  <conditionalFormatting sqref="D3:V222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"/>
  <sheetViews>
    <sheetView rightToLeft="1" zoomScaleNormal="100" workbookViewId="0"/>
  </sheetViews>
  <sheetFormatPr defaultColWidth="8.54296875" defaultRowHeight="14.5"/>
  <sheetData>
    <row r="1" spans="1:24" ht="15" customHeight="1">
      <c r="A1" s="53" t="s">
        <v>295</v>
      </c>
    </row>
    <row r="2" spans="1:24" ht="15" customHeight="1">
      <c r="A2" s="54" t="s">
        <v>296</v>
      </c>
      <c r="B2">
        <f>المهارات!E2</f>
        <v>1</v>
      </c>
      <c r="C2">
        <f>المهارات!E3</f>
        <v>2</v>
      </c>
      <c r="D2">
        <f>المهارات!E4</f>
        <v>3</v>
      </c>
      <c r="E2">
        <f>المهارات!E5</f>
        <v>4</v>
      </c>
      <c r="F2">
        <f>المهارات!E6</f>
        <v>5</v>
      </c>
      <c r="G2">
        <f>المهارات!E7</f>
        <v>6</v>
      </c>
      <c r="H2">
        <f>المهارات!E8</f>
        <v>7</v>
      </c>
      <c r="I2">
        <f>المهارات!E9</f>
        <v>8</v>
      </c>
      <c r="J2">
        <f>المهارات!E10</f>
        <v>9</v>
      </c>
      <c r="K2">
        <f>المهارات!E11</f>
        <v>10</v>
      </c>
      <c r="L2">
        <f>المهارات!E12</f>
        <v>11</v>
      </c>
      <c r="M2">
        <f>المهارات!E13</f>
        <v>12</v>
      </c>
      <c r="N2">
        <f>المهارات!E14</f>
        <v>13</v>
      </c>
      <c r="O2">
        <f>المهارات!E15</f>
        <v>14</v>
      </c>
      <c r="P2">
        <f>المهارات!E16</f>
        <v>15</v>
      </c>
      <c r="Q2">
        <f>المهارات!E17</f>
        <v>16</v>
      </c>
      <c r="R2">
        <f>المهارات!E18</f>
        <v>17</v>
      </c>
      <c r="S2">
        <f>المهارات!E19</f>
        <v>18</v>
      </c>
      <c r="T2">
        <f>المهارات!E20</f>
        <v>19</v>
      </c>
      <c r="U2">
        <f>المهارات!E21</f>
        <v>20</v>
      </c>
      <c r="V2">
        <f>المهارات!E22</f>
        <v>21</v>
      </c>
      <c r="W2">
        <f>المهارات!E23</f>
        <v>22</v>
      </c>
      <c r="X2">
        <f>المهارات!E24</f>
        <v>23</v>
      </c>
    </row>
    <row r="3" spans="1:24" ht="15" customHeight="1">
      <c r="A3" s="54" t="s">
        <v>31</v>
      </c>
      <c r="B3" t="str">
        <f>IF(المهارات!F2="","",المهارات!F2)</f>
        <v/>
      </c>
      <c r="C3" t="str">
        <f>IF(المهارات!F3="","",المهارات!F3)</f>
        <v/>
      </c>
      <c r="D3" t="str">
        <f>IF(المهارات!F4="","",المهارات!F4)</f>
        <v/>
      </c>
      <c r="E3" t="str">
        <f>IF(المهارات!F5="","",المهارات!F5)</f>
        <v/>
      </c>
      <c r="F3" t="str">
        <f>IF(المهارات!F6="","",المهارات!F6)</f>
        <v/>
      </c>
      <c r="G3" t="str">
        <f>IF(المهارات!F7="","",المهارات!F7)</f>
        <v/>
      </c>
      <c r="H3" t="str">
        <f>IF(المهارات!F8="","",المهارات!F8)</f>
        <v/>
      </c>
      <c r="I3" t="str">
        <f>IF(المهارات!F9="","",المهارات!F9)</f>
        <v/>
      </c>
      <c r="J3" t="str">
        <f>IF(المهارات!F10="","",المهارات!F10)</f>
        <v/>
      </c>
      <c r="K3" t="str">
        <f>IF(المهارات!F11="","",المهارات!F11)</f>
        <v/>
      </c>
      <c r="L3" t="str">
        <f>IF(المهارات!F12="","",المهارات!F12)</f>
        <v/>
      </c>
      <c r="M3" t="str">
        <f>IF(المهارات!F13="","",المهارات!F13)</f>
        <v/>
      </c>
      <c r="N3" t="str">
        <f>IF(المهارات!F14="","",المهارات!F14)</f>
        <v/>
      </c>
      <c r="O3" t="str">
        <f>IF(المهارات!F15="","",المهارات!F15)</f>
        <v/>
      </c>
      <c r="P3" t="str">
        <f>IF(المهارات!F16="","",المهارات!F16)</f>
        <v/>
      </c>
      <c r="Q3" t="str">
        <f>IF(المهارات!F17="","",المهارات!F17)</f>
        <v/>
      </c>
      <c r="R3" t="str">
        <f>IF(المهارات!F18="","",المهارات!F18)</f>
        <v/>
      </c>
      <c r="S3" t="str">
        <f>IF(المهارات!F19="","",المهارات!F19)</f>
        <v/>
      </c>
      <c r="T3" t="str">
        <f>IF(المهارات!F20="","",المهارات!F20)</f>
        <v/>
      </c>
      <c r="U3" t="str">
        <f>IF(المهارات!F21="","",المهارات!F21)</f>
        <v/>
      </c>
      <c r="V3" t="str">
        <f>IF(المهارات!F22="","",المهارات!F22)</f>
        <v/>
      </c>
      <c r="W3" t="str">
        <f>IF(المهارات!F23="","",المهارات!F23)</f>
        <v/>
      </c>
      <c r="X3" t="str">
        <f>IF(المهارات!F24="","",المهارات!F24)</f>
        <v/>
      </c>
    </row>
    <row r="4" spans="1:24" ht="15" customHeight="1">
      <c r="A4" s="54" t="s">
        <v>33</v>
      </c>
      <c r="B4">
        <f>IF(المهارات!G2="",0,المهارات!G2)</f>
        <v>0</v>
      </c>
      <c r="C4">
        <f>IF(المهارات!G3="",0,المهارات!G3)</f>
        <v>0</v>
      </c>
      <c r="D4">
        <f>IF(المهارات!G4="",0,المهارات!G4)</f>
        <v>0</v>
      </c>
      <c r="E4">
        <f>IF(المهارات!G5="",0,المهارات!G5)</f>
        <v>0</v>
      </c>
      <c r="F4">
        <f>IF(المهارات!G6="",0,المهارات!G6)</f>
        <v>0</v>
      </c>
      <c r="G4">
        <f>IF(المهارات!G7="",0,المهارات!G7)</f>
        <v>0</v>
      </c>
      <c r="H4">
        <f>IF(المهارات!G8="",0,المهارات!G8)</f>
        <v>0</v>
      </c>
      <c r="I4">
        <f>IF(المهارات!G9="",0,المهارات!G9)</f>
        <v>0</v>
      </c>
      <c r="J4">
        <f>IF(المهارات!G10="",0,المهارات!G10)</f>
        <v>0</v>
      </c>
      <c r="K4">
        <f>IF(المهارات!G11="",0,المهارات!G11)</f>
        <v>0</v>
      </c>
      <c r="L4">
        <f>IF(المهارات!G12="",0,المهارات!G12)</f>
        <v>0</v>
      </c>
      <c r="M4">
        <f>IF(المهارات!G13="",0,المهارات!G13)</f>
        <v>0</v>
      </c>
      <c r="N4">
        <f>IF(المهارات!G14="",0,المهارات!G14)</f>
        <v>0</v>
      </c>
      <c r="O4">
        <f>IF(المهارات!G15="",0,المهارات!G15)</f>
        <v>0</v>
      </c>
      <c r="P4">
        <f>IF(المهارات!G16="",0,المهارات!G16)</f>
        <v>0</v>
      </c>
      <c r="Q4">
        <f>IF(المهارات!G17="",0,المهارات!G17)</f>
        <v>0</v>
      </c>
      <c r="R4">
        <f>IF(المهارات!G18="",0,المهارات!G18)</f>
        <v>0</v>
      </c>
      <c r="S4">
        <f>IF(المهارات!G19="",0,المهارات!G19)</f>
        <v>0</v>
      </c>
      <c r="T4">
        <f>IF(المهارات!G20="",0,المهارات!G20)</f>
        <v>0</v>
      </c>
      <c r="U4">
        <f>IF(المهارات!G21="",0,المهارات!G21)</f>
        <v>0</v>
      </c>
      <c r="V4">
        <f>IF(المهارات!G22="",0,المهارات!G22)</f>
        <v>0</v>
      </c>
      <c r="W4">
        <f>IF(المهارات!G23="",0,المهارات!G23)</f>
        <v>0</v>
      </c>
      <c r="X4">
        <f>IF(المهارات!G24="",0,المهارات!G24)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لوحة النتائج</vt:lpstr>
      <vt:lpstr>المهارات</vt:lpstr>
      <vt:lpstr>الرصد</vt:lpstr>
      <vt:lpstr>التحليل</vt:lpstr>
      <vt:lpstr>معالجة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فيصل الملحم</dc:creator>
  <dc:description/>
  <cp:lastModifiedBy>فيصل الملحم</cp:lastModifiedBy>
  <cp:revision>2</cp:revision>
  <dcterms:created xsi:type="dcterms:W3CDTF">2026-09-08T04:32:59Z</dcterms:created>
  <dcterms:modified xsi:type="dcterms:W3CDTF">2026-09-08T05:34:44Z</dcterms:modified>
  <dc:language>en-US</dc:language>
</cp:coreProperties>
</file>